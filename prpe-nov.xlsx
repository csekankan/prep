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Tracker" sheetId="1" state="visible" r:id="rId1"/>
    <sheet name="6 Week Plan" sheetId="2" state="visible" r:id="rId2"/>
    <sheet name="AI ML Topics" sheetId="3" state="visible" r:id="rId3"/>
    <sheet name="Data Engineering Topics" sheetId="4" state="visible" r:id="rId4"/>
    <sheet name="DSA Mistake Log" sheetId="5" state="visible" r:id="rId5"/>
    <sheet name="System Design Mistakes" sheetId="6" state="visible" r:id="rId6"/>
    <sheet name="LLD Mistakes" sheetId="7" state="visible" r:id="rId7"/>
    <sheet name="Mock Interviews" sheetId="8" state="visible" r:id="rId8"/>
    <sheet name="Weekly Review" sheetId="9" state="visible" r:id="rId9"/>
    <sheet name="Resume Stories" sheetId="10" state="visible" r:id="rId10"/>
    <sheet name="Company Pipeline" sheetId="11" state="visible" r:id="rId11"/>
    <sheet name="Readiness Dashboard" sheetId="12" state="visible" r:id="rId12"/>
    <sheet name="README" sheetId="13" state="visible" r:id="rId13"/>
  </sheets>
  <definedNames>
    <definedName name="_xlnm._FilterDatabase" localSheetId="0" hidden="1">'Daily Tracker'!$A$1:$N$43</definedName>
    <definedName name="_xlnm._FilterDatabase" localSheetId="2" hidden="1">'AI ML Topics'!$A$1:$G$26</definedName>
    <definedName name="_xlnm._FilterDatabase" localSheetId="3" hidden="1">'Data Engineering Topics'!$A$1:$G$24</definedName>
    <definedName name="_xlnm._FilterDatabase" localSheetId="4" hidden="1">'DSA Mistake Log'!$A$1:$O$2</definedName>
    <definedName name="_xlnm._FilterDatabase" localSheetId="5" hidden="1">'System Design Mistakes'!$A$1:$K$2</definedName>
    <definedName name="_xlnm._FilterDatabase" localSheetId="6" hidden="1">'LLD Mistakes'!$A$1:$J$2</definedName>
    <definedName name="_xlnm._FilterDatabase" localSheetId="7" hidden="1">'Mock Interviews'!$A$1:$M$2</definedName>
    <definedName name="_xlnm._FilterDatabase" localSheetId="8" hidden="1">'Weekly Review'!$A$1:$O$7</definedName>
    <definedName name="_xlnm._FilterDatabase" localSheetId="9" hidden="1">'Resume Stories'!$A$1:$L$3</definedName>
    <definedName name="_xlnm._FilterDatabase" localSheetId="10" hidden="1">'Company Pipeline'!$A$1:$L$2</definedName>
    <definedName name="_xlnm._FilterDatabase" localSheetId="11" hidden="1">'Readiness Dashboard'!$A$1:$D$9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8"/>
      <sz val="16"/>
    </font>
    <font>
      <b val="1"/>
    </font>
    <font>
      <b val="1"/>
      <color rgb="00FFFFFF"/>
    </font>
    <font>
      <b val="1"/>
      <color rgb="001F4E78"/>
    </font>
    <font>
      <b val="1"/>
      <color rgb="00FFFFFF"/>
      <sz val="11"/>
    </font>
    <font>
      <b val="1"/>
      <sz val="11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6F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8FBFD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5EEF8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2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10" customWidth="1" min="4" max="4"/>
    <col width="46" customWidth="1" min="5" max="5"/>
    <col width="52" customWidth="1" min="6" max="6"/>
    <col width="48" customWidth="1" min="7" max="7"/>
    <col width="56" customWidth="1" min="8" max="8"/>
    <col width="10" customWidth="1" min="9" max="9"/>
    <col width="30" customWidth="1" min="10" max="10"/>
    <col width="18" customWidth="1" min="11" max="11"/>
    <col width="14" customWidth="1" min="12" max="12"/>
    <col width="14" customWidth="1" min="13" max="13"/>
    <col width="10" customWidth="1" min="14" max="14"/>
  </cols>
  <sheetData>
    <row r="1" ht="30" customHeight="1">
      <c r="A1" s="20" t="inlineStr">
        <is>
          <t>Date</t>
        </is>
      </c>
      <c r="B1" s="20" t="inlineStr">
        <is>
          <t>Week</t>
        </is>
      </c>
      <c r="C1" s="20" t="inlineStr">
        <is>
          <t>Day</t>
        </is>
      </c>
      <c r="D1" s="20" t="inlineStr">
        <is>
          <t>Energy</t>
        </is>
      </c>
      <c r="E1" s="20" t="inlineStr">
        <is>
          <t>DSA Topic</t>
        </is>
      </c>
      <c r="F1" s="20" t="inlineStr">
        <is>
          <t>HLD Topic</t>
        </is>
      </c>
      <c r="G1" s="20" t="inlineStr">
        <is>
          <t>LLD Topic</t>
        </is>
      </c>
      <c r="H1" s="20" t="inlineStr">
        <is>
          <t>Action</t>
        </is>
      </c>
      <c r="I1" s="20" t="inlineStr">
        <is>
          <t>Time</t>
        </is>
      </c>
      <c r="J1" s="20" t="inlineStr">
        <is>
          <t>Problem Solved</t>
        </is>
      </c>
      <c r="K1" s="20" t="inlineStr">
        <is>
          <t>Solved Without Help</t>
        </is>
      </c>
      <c r="L1" s="20" t="inlineStr">
        <is>
          <t>Spoke Out Loud</t>
        </is>
      </c>
      <c r="M1" s="20" t="inlineStr">
        <is>
          <t>Mistake Logged</t>
        </is>
      </c>
      <c r="N1" s="20" t="inlineStr">
        <is>
          <t>Score 0-5</t>
        </is>
      </c>
    </row>
    <row r="2" ht="50" customHeight="1">
      <c r="A2" s="5" t="inlineStr">
        <is>
          <t>2026-08-25</t>
        </is>
      </c>
      <c r="B2" s="5" t="n">
        <v>1</v>
      </c>
      <c r="C2" s="5" t="inlineStr">
        <is>
          <t>Tue</t>
        </is>
      </c>
      <c r="D2" s="5" t="inlineStr"/>
      <c r="E2" s="5" t="inlineStr">
        <is>
          <t>Arrays + hashing (warm-up)</t>
        </is>
      </c>
      <c r="F2" s="5" t="inlineStr">
        <is>
          <t>—</t>
        </is>
      </c>
      <c r="G2" s="5" t="inlineStr">
        <is>
          <t>—</t>
        </is>
      </c>
      <c r="H2" s="5" t="inlineStr">
        <is>
          <t>Solve 1 easy/medium to start rhythm</t>
        </is>
      </c>
      <c r="I2" s="5" t="inlineStr">
        <is>
          <t>45-60 min</t>
        </is>
      </c>
      <c r="J2" s="5" t="inlineStr"/>
      <c r="K2" s="5" t="inlineStr"/>
      <c r="L2" s="5" t="inlineStr"/>
      <c r="M2" s="5" t="inlineStr"/>
      <c r="N2" s="5" t="inlineStr"/>
    </row>
    <row r="3" ht="50" customHeight="1">
      <c r="A3" s="5" t="inlineStr">
        <is>
          <t>2026-08-26</t>
        </is>
      </c>
      <c r="B3" s="5" t="n">
        <v>1</v>
      </c>
      <c r="C3" s="5" t="inlineStr">
        <is>
          <t>Wed</t>
        </is>
      </c>
      <c r="D3" s="5" t="inlineStr"/>
      <c r="E3" s="5" t="inlineStr">
        <is>
          <t>Two pointers (warm-up)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Solve 1 two pointer problem</t>
        </is>
      </c>
      <c r="I3" s="5" t="inlineStr">
        <is>
          <t>45-60 min</t>
        </is>
      </c>
      <c r="J3" s="5" t="inlineStr"/>
      <c r="K3" s="5" t="inlineStr"/>
      <c r="L3" s="5" t="inlineStr"/>
      <c r="M3" s="5" t="inlineStr"/>
      <c r="N3" s="5" t="inlineStr"/>
    </row>
    <row r="4" ht="50" customHeight="1">
      <c r="A4" s="5" t="inlineStr">
        <is>
          <t>2026-08-27</t>
        </is>
      </c>
      <c r="B4" s="5" t="n">
        <v>1</v>
      </c>
      <c r="C4" s="5" t="inlineStr">
        <is>
          <t>Thu</t>
        </is>
      </c>
      <c r="D4" s="5" t="inlineStr"/>
      <c r="E4" s="5" t="inlineStr">
        <is>
          <t>Sliding window (warm-up)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Solve 1 sliding window problem</t>
        </is>
      </c>
      <c r="I4" s="5" t="inlineStr">
        <is>
          <t>45-60 min</t>
        </is>
      </c>
      <c r="J4" s="5" t="inlineStr"/>
      <c r="K4" s="5" t="inlineStr"/>
      <c r="L4" s="5" t="inlineStr"/>
      <c r="M4" s="5" t="inlineStr"/>
      <c r="N4" s="5" t="inlineStr"/>
    </row>
    <row r="5" ht="50" customHeight="1">
      <c r="A5" s="5" t="inlineStr">
        <is>
          <t>2026-08-28</t>
        </is>
      </c>
      <c r="B5" s="5" t="n">
        <v>1</v>
      </c>
      <c r="C5" s="5" t="inlineStr">
        <is>
          <t>Fri</t>
        </is>
      </c>
      <c r="D5" s="5" t="inlineStr"/>
      <c r="E5" s="5" t="inlineStr">
        <is>
          <t>Binary search (warm-up)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Solve 1 binary search problem</t>
        </is>
      </c>
      <c r="I5" s="5" t="inlineStr">
        <is>
          <t>45-60 min</t>
        </is>
      </c>
      <c r="J5" s="5" t="inlineStr"/>
      <c r="K5" s="5" t="inlineStr"/>
      <c r="L5" s="5" t="inlineStr"/>
      <c r="M5" s="5" t="inlineStr"/>
      <c r="N5" s="5" t="inlineStr"/>
    </row>
    <row r="6" ht="50" customHeight="1">
      <c r="A6" s="5" t="inlineStr">
        <is>
          <t>2026-08-29</t>
        </is>
      </c>
      <c r="B6" s="5" t="n">
        <v>1</v>
      </c>
      <c r="C6" s="5" t="inlineStr">
        <is>
          <t>Sat</t>
        </is>
      </c>
      <c r="D6" s="5" t="inlineStr"/>
      <c r="E6" s="5" t="inlineStr">
        <is>
          <t>DP: 1D easy (warm-up)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Solve 1 easy DP (climbing stairs / fibonacci style)</t>
        </is>
      </c>
      <c r="I6" s="5" t="inlineStr">
        <is>
          <t>45-60 min</t>
        </is>
      </c>
      <c r="J6" s="5" t="inlineStr"/>
      <c r="K6" s="5" t="inlineStr"/>
      <c r="L6" s="5" t="inlineStr"/>
      <c r="M6" s="5" t="inlineStr"/>
      <c r="N6" s="5" t="inlineStr"/>
    </row>
    <row r="7" ht="50" customHeight="1">
      <c r="A7" s="5" t="inlineStr">
        <is>
          <t>2026-08-30</t>
        </is>
      </c>
      <c r="B7" s="5" t="n">
        <v>1</v>
      </c>
      <c r="C7" s="5" t="inlineStr">
        <is>
          <t>Sun</t>
        </is>
      </c>
      <c r="D7" s="5" t="inlineStr"/>
      <c r="E7" s="5" t="inlineStr">
        <is>
          <t>Graphs: BFS easy (warm-up)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Solve 1 easy graph (flood fill / number of islands)</t>
        </is>
      </c>
      <c r="I7" s="5" t="inlineStr">
        <is>
          <t>45-60 min</t>
        </is>
      </c>
      <c r="J7" s="5" t="inlineStr"/>
      <c r="K7" s="5" t="inlineStr"/>
      <c r="L7" s="5" t="inlineStr"/>
      <c r="M7" s="5" t="inlineStr"/>
      <c r="N7" s="5" t="inlineStr"/>
    </row>
    <row r="8" ht="50" customHeight="1">
      <c r="A8" s="5" t="inlineStr">
        <is>
          <t>2026-08-31</t>
        </is>
      </c>
      <c r="B8" s="5" t="n">
        <v>1</v>
      </c>
      <c r="C8" s="5" t="inlineStr">
        <is>
          <t>Mon</t>
        </is>
      </c>
      <c r="D8" s="5" t="inlineStr"/>
      <c r="E8" s="5" t="inlineStr">
        <is>
          <t>Revision: weakest</t>
        </is>
      </c>
      <c r="F8" s="5" t="inlineStr">
        <is>
          <t>—</t>
        </is>
      </c>
      <c r="G8" s="5" t="inlineStr">
        <is>
          <t>—</t>
        </is>
      </c>
      <c r="H8" s="5" t="inlineStr">
        <is>
          <t>Re-solve 1 mistake; update tracker</t>
        </is>
      </c>
      <c r="I8" s="5" t="inlineStr">
        <is>
          <t>45 min</t>
        </is>
      </c>
      <c r="J8" s="5" t="inlineStr"/>
      <c r="K8" s="5" t="inlineStr"/>
      <c r="L8" s="5" t="inlineStr"/>
      <c r="M8" s="5" t="inlineStr"/>
      <c r="N8" s="5" t="inlineStr"/>
    </row>
    <row r="9" ht="50" customHeight="1">
      <c r="A9" s="15" t="inlineStr">
        <is>
          <t>2026-09-01</t>
        </is>
      </c>
      <c r="B9" s="15" t="n">
        <v>2</v>
      </c>
      <c r="C9" s="15" t="inlineStr">
        <is>
          <t>Tue</t>
        </is>
      </c>
      <c r="D9" s="15" t="inlineStr"/>
      <c r="E9" s="15" t="inlineStr">
        <is>
          <t>DP: 1D state transition (house robber, decode ways)</t>
        </is>
      </c>
      <c r="F9" s="15" t="inlineStr">
        <is>
          <t>SD template: requirements → APIs → data model → architecture → deep dive</t>
        </is>
      </c>
      <c r="G9" s="15" t="inlineStr">
        <is>
          <t>What is LLD? OOP basics: classes, objects, encapsulation, abstraction</t>
        </is>
      </c>
      <c r="H9" s="15" t="inlineStr">
        <is>
          <t>Solve 1 DP + learn SD template + read OOP</t>
        </is>
      </c>
      <c r="I9" s="15" t="inlineStr">
        <is>
          <t>100 min</t>
        </is>
      </c>
      <c r="J9" s="15" t="inlineStr"/>
      <c r="K9" s="15" t="inlineStr"/>
      <c r="L9" s="15" t="inlineStr"/>
      <c r="M9" s="15" t="inlineStr"/>
      <c r="N9" s="15" t="inlineStr"/>
    </row>
    <row r="10" ht="50" customHeight="1">
      <c r="A10" s="15" t="inlineStr">
        <is>
          <t>2026-09-02</t>
        </is>
      </c>
      <c r="B10" s="15" t="n">
        <v>2</v>
      </c>
      <c r="C10" s="15" t="inlineStr">
        <is>
          <t>Wed</t>
        </is>
      </c>
      <c r="D10" s="15" t="inlineStr"/>
      <c r="E10" s="15" t="inlineStr">
        <is>
          <t>DP: 1D subsequence (LIS, coin change, word break)</t>
        </is>
      </c>
      <c r="F10" s="15" t="inlineStr">
        <is>
          <t>Capacity estimation: users, QPS, storage math</t>
        </is>
      </c>
      <c r="G10" s="15" t="inlineStr">
        <is>
          <t>SOLID: Single Responsibility + Open-Closed</t>
        </is>
      </c>
      <c r="H10" s="15" t="inlineStr">
        <is>
          <t>Solve 1 DP + practice estimation + understand SRP/OCP</t>
        </is>
      </c>
      <c r="I10" s="15" t="inlineStr">
        <is>
          <t>100 min</t>
        </is>
      </c>
      <c r="J10" s="15" t="inlineStr"/>
      <c r="K10" s="15" t="inlineStr"/>
      <c r="L10" s="15" t="inlineStr"/>
      <c r="M10" s="15" t="inlineStr"/>
      <c r="N10" s="15" t="inlineStr"/>
    </row>
    <row r="11" ht="50" customHeight="1">
      <c r="A11" s="15" t="inlineStr">
        <is>
          <t>2026-09-03</t>
        </is>
      </c>
      <c r="B11" s="15" t="n">
        <v>2</v>
      </c>
      <c r="C11" s="15" t="inlineStr">
        <is>
          <t>Thu</t>
        </is>
      </c>
      <c r="D11" s="15" t="inlineStr"/>
      <c r="E11" s="15" t="inlineStr">
        <is>
          <t>DP: 2D grid (unique paths, min path sum)</t>
        </is>
      </c>
      <c r="F11" s="15" t="inlineStr">
        <is>
          <t>Database: SQL vs NoSQL, indexes, replication</t>
        </is>
      </c>
      <c r="G11" s="15" t="inlineStr">
        <is>
          <t>SOLID: Liskov + Interface Segregation + Dependency Inversion</t>
        </is>
      </c>
      <c r="H11" s="15" t="inlineStr">
        <is>
          <t>Solve 1 2D DP + note DB tradeoffs + complete SOLID</t>
        </is>
      </c>
      <c r="I11" s="15" t="inlineStr">
        <is>
          <t>100 min</t>
        </is>
      </c>
      <c r="J11" s="15" t="inlineStr"/>
      <c r="K11" s="15" t="inlineStr"/>
      <c r="L11" s="15" t="inlineStr"/>
      <c r="M11" s="15" t="inlineStr"/>
      <c r="N11" s="15" t="inlineStr"/>
    </row>
    <row r="12" ht="50" customHeight="1">
      <c r="A12" s="15" t="inlineStr">
        <is>
          <t>2026-09-04</t>
        </is>
      </c>
      <c r="B12" s="15" t="n">
        <v>2</v>
      </c>
      <c r="C12" s="15" t="inlineStr">
        <is>
          <t>Fri</t>
        </is>
      </c>
      <c r="D12" s="15" t="inlineStr"/>
      <c r="E12" s="15" t="inlineStr">
        <is>
          <t>Graphs: DFS + cycle detection</t>
        </is>
      </c>
      <c r="F12" s="15" t="inlineStr">
        <is>
          <t>Caching: read-aside, write-through, TTL, invalidation</t>
        </is>
      </c>
      <c r="G12" s="15" t="inlineStr">
        <is>
          <t>Design patterns: Strategy pattern (code it)</t>
        </is>
      </c>
      <c r="H12" s="15" t="inlineStr">
        <is>
          <t>2 hrs. Solve 1 graph + diagram cache + code strategy</t>
        </is>
      </c>
      <c r="I12" s="15" t="inlineStr">
        <is>
          <t>2 hrs</t>
        </is>
      </c>
      <c r="J12" s="15" t="inlineStr"/>
      <c r="K12" s="15" t="inlineStr"/>
      <c r="L12" s="15" t="inlineStr"/>
      <c r="M12" s="15" t="inlineStr"/>
      <c r="N12" s="15" t="inlineStr"/>
    </row>
    <row r="13" ht="50" customHeight="1">
      <c r="A13" s="15" t="inlineStr">
        <is>
          <t>2026-09-05</t>
        </is>
      </c>
      <c r="B13" s="15" t="n">
        <v>2</v>
      </c>
      <c r="C13" s="15" t="inlineStr">
        <is>
          <t>Sat</t>
        </is>
      </c>
      <c r="D13" s="15" t="inlineStr"/>
      <c r="E13" s="15" t="inlineStr">
        <is>
          <t>Graphs: topological sort (course schedule)</t>
        </is>
      </c>
      <c r="F13" s="15" t="inlineStr">
        <is>
          <t>Message queues: async, pub-sub, Kafka basics</t>
        </is>
      </c>
      <c r="G13" s="15" t="inlineStr">
        <is>
          <t>Design patterns: Observer pattern (code it)</t>
        </is>
      </c>
      <c r="H13" s="15" t="inlineStr">
        <is>
          <t>Solve 1 topo sort + note queue use cases + code observer</t>
        </is>
      </c>
      <c r="I13" s="15" t="inlineStr">
        <is>
          <t>2 hrs</t>
        </is>
      </c>
      <c r="J13" s="15" t="inlineStr"/>
      <c r="K13" s="15" t="inlineStr"/>
      <c r="L13" s="15" t="inlineStr"/>
      <c r="M13" s="15" t="inlineStr"/>
      <c r="N13" s="15" t="inlineStr"/>
    </row>
    <row r="14" ht="50" customHeight="1">
      <c r="A14" s="15" t="inlineStr">
        <is>
          <t>2026-09-06</t>
        </is>
      </c>
      <c r="B14" s="15" t="n">
        <v>2</v>
      </c>
      <c r="C14" s="15" t="inlineStr">
        <is>
          <t>Sun</t>
        </is>
      </c>
      <c r="D14" s="15" t="inlineStr"/>
      <c r="E14" s="15" t="inlineStr">
        <is>
          <t>Graphs: shortest path / BFS on matrix</t>
        </is>
      </c>
      <c r="F14" s="15" t="inlineStr">
        <is>
          <t>Load balancing + CDN + horizontal scaling</t>
        </is>
      </c>
      <c r="G14" s="15" t="inlineStr">
        <is>
          <t>Design patterns: Factory + Builder</t>
        </is>
      </c>
      <c r="H14" s="15" t="inlineStr">
        <is>
          <t>Solve 1 graph + draw scaling + code factory</t>
        </is>
      </c>
      <c r="I14" s="15" t="inlineStr">
        <is>
          <t>2 hrs</t>
        </is>
      </c>
      <c r="J14" s="15" t="inlineStr"/>
      <c r="K14" s="15" t="inlineStr"/>
      <c r="L14" s="15" t="inlineStr"/>
      <c r="M14" s="15" t="inlineStr"/>
      <c r="N14" s="15" t="inlineStr"/>
    </row>
    <row r="15" ht="50" customHeight="1">
      <c r="A15" s="15" t="inlineStr">
        <is>
          <t>2026-09-07</t>
        </is>
      </c>
      <c r="B15" s="15" t="n">
        <v>2</v>
      </c>
      <c r="C15" s="15" t="inlineStr">
        <is>
          <t>Mon</t>
        </is>
      </c>
      <c r="D15" s="15" t="inlineStr"/>
      <c r="E15" s="15" t="inlineStr">
        <is>
          <t>Revision: DP + Graphs</t>
        </is>
      </c>
      <c r="F15" s="15" t="inlineStr">
        <is>
          <t>Review: reproduce SD template from memory</t>
        </is>
      </c>
      <c r="G15" s="15" t="inlineStr">
        <is>
          <t>Review: SOLID + patterns from memory</t>
        </is>
      </c>
      <c r="H15" s="15" t="inlineStr">
        <is>
          <t>Re-solve 2 hardest + reproduce learnings</t>
        </is>
      </c>
      <c r="I15" s="15" t="inlineStr">
        <is>
          <t>90 min</t>
        </is>
      </c>
      <c r="J15" s="15" t="inlineStr"/>
      <c r="K15" s="15" t="inlineStr"/>
      <c r="L15" s="15" t="inlineStr"/>
      <c r="M15" s="15" t="inlineStr"/>
      <c r="N15" s="15" t="inlineStr"/>
    </row>
    <row r="16" ht="50" customHeight="1">
      <c r="A16" s="16" t="inlineStr">
        <is>
          <t>2026-09-08</t>
        </is>
      </c>
      <c r="B16" s="16" t="n">
        <v>3</v>
      </c>
      <c r="C16" s="16" t="inlineStr">
        <is>
          <t>Tue</t>
        </is>
      </c>
      <c r="D16" s="16" t="inlineStr"/>
      <c r="E16" s="16" t="inlineStr">
        <is>
          <t>DP: knapsack / take-or-skip (subset sum, partition)</t>
        </is>
      </c>
      <c r="F16" s="16" t="inlineStr">
        <is>
          <t>URL shortener (full design: requirements → scaling)</t>
        </is>
      </c>
      <c r="G16" s="16" t="inlineStr">
        <is>
          <t>LLD: Parking lot — identify all entities</t>
        </is>
      </c>
      <c r="H16" s="16" t="inlineStr">
        <is>
          <t>Solve 1 DP + design URL shortener + list classes</t>
        </is>
      </c>
      <c r="I16" s="16" t="inlineStr">
        <is>
          <t>2 hrs</t>
        </is>
      </c>
      <c r="J16" s="16" t="inlineStr"/>
      <c r="K16" s="16" t="inlineStr"/>
      <c r="L16" s="16" t="inlineStr"/>
      <c r="M16" s="16" t="inlineStr"/>
      <c r="N16" s="16" t="inlineStr"/>
    </row>
    <row r="17" ht="50" customHeight="1">
      <c r="A17" s="16" t="inlineStr">
        <is>
          <t>2026-09-09</t>
        </is>
      </c>
      <c r="B17" s="16" t="n">
        <v>3</v>
      </c>
      <c r="C17" s="16" t="inlineStr">
        <is>
          <t>Wed</t>
        </is>
      </c>
      <c r="D17" s="16" t="inlineStr"/>
      <c r="E17" s="16" t="inlineStr">
        <is>
          <t>DP: interval DP / string DP (edit distance, palindrome)</t>
        </is>
      </c>
      <c r="F17" s="16" t="inlineStr">
        <is>
          <t>Rate limiter (token bucket, sliding window, distributed)</t>
        </is>
      </c>
      <c r="G17" s="16" t="inlineStr">
        <is>
          <t>LLD: Parking lot — responsibilities + interfaces</t>
        </is>
      </c>
      <c r="H17" s="16" t="inlineStr">
        <is>
          <t>Solve 1 DP + design rate limiter + assign responsibilities</t>
        </is>
      </c>
      <c r="I17" s="16" t="inlineStr">
        <is>
          <t>2 hrs</t>
        </is>
      </c>
      <c r="J17" s="16" t="inlineStr"/>
      <c r="K17" s="16" t="inlineStr"/>
      <c r="L17" s="16" t="inlineStr"/>
      <c r="M17" s="16" t="inlineStr"/>
      <c r="N17" s="16" t="inlineStr"/>
    </row>
    <row r="18" ht="50" customHeight="1">
      <c r="A18" s="16" t="inlineStr">
        <is>
          <t>2026-09-10</t>
        </is>
      </c>
      <c r="B18" s="16" t="n">
        <v>3</v>
      </c>
      <c r="C18" s="16" t="inlineStr">
        <is>
          <t>Thu</t>
        </is>
      </c>
      <c r="D18" s="16" t="inlineStr"/>
      <c r="E18" s="16" t="inlineStr">
        <is>
          <t>Trees: DFS recursive (diameter, path sum, LCA)</t>
        </is>
      </c>
      <c r="F18" s="16" t="inlineStr">
        <is>
          <t>Consistency: strong vs eventual, CAP theorem</t>
        </is>
      </c>
      <c r="G18" s="16" t="inlineStr">
        <is>
          <t>LLD: Parking lot — complete flows + edge cases</t>
        </is>
      </c>
      <c r="H18" s="16" t="inlineStr">
        <is>
          <t>Solve 1 tree + study consistency + finish parking lot</t>
        </is>
      </c>
      <c r="I18" s="16" t="inlineStr">
        <is>
          <t>2 hrs</t>
        </is>
      </c>
      <c r="J18" s="16" t="inlineStr"/>
      <c r="K18" s="16" t="inlineStr"/>
      <c r="L18" s="16" t="inlineStr"/>
      <c r="M18" s="16" t="inlineStr"/>
      <c r="N18" s="16" t="inlineStr"/>
    </row>
    <row r="19" ht="50" customHeight="1">
      <c r="A19" s="16" t="inlineStr">
        <is>
          <t>2026-09-11</t>
        </is>
      </c>
      <c r="B19" s="16" t="n">
        <v>3</v>
      </c>
      <c r="C19" s="16" t="inlineStr">
        <is>
          <t>Fri</t>
        </is>
      </c>
      <c r="D19" s="16" t="inlineStr"/>
      <c r="E19" s="16" t="inlineStr">
        <is>
          <t>Trees: BFS (level order, zigzag, right side view)</t>
        </is>
      </c>
      <c r="F19" s="16" t="inlineStr">
        <is>
          <t>Sharding: hash vs range, hot keys, rebalancing</t>
        </is>
      </c>
      <c r="G19" s="16" t="inlineStr">
        <is>
          <t>LLD: Cache (LRU) — entities, eviction interface</t>
        </is>
      </c>
      <c r="H19" s="16" t="inlineStr">
        <is>
          <t>Solve 1 tree BFS + study sharding + start cache</t>
        </is>
      </c>
      <c r="I19" s="16" t="inlineStr">
        <is>
          <t>2 hrs</t>
        </is>
      </c>
      <c r="J19" s="16" t="inlineStr"/>
      <c r="K19" s="16" t="inlineStr"/>
      <c r="L19" s="16" t="inlineStr"/>
      <c r="M19" s="16" t="inlineStr"/>
      <c r="N19" s="16" t="inlineStr"/>
    </row>
    <row r="20" ht="50" customHeight="1">
      <c r="A20" s="16" t="inlineStr">
        <is>
          <t>2026-09-12</t>
        </is>
      </c>
      <c r="B20" s="16" t="n">
        <v>3</v>
      </c>
      <c r="C20" s="16" t="inlineStr">
        <is>
          <t>Sat</t>
        </is>
      </c>
      <c r="D20" s="16" t="inlineStr"/>
      <c r="E20" s="16" t="inlineStr">
        <is>
          <t>Trees: BST (validate, kth smallest, iterator)</t>
        </is>
      </c>
      <c r="F20" s="16" t="inlineStr">
        <is>
          <t>API design: REST, pagination, idempotency, versioning</t>
        </is>
      </c>
      <c r="G20" s="16" t="inlineStr">
        <is>
          <t>LLD: Cache (LRU) — HashMap + DLL implementation</t>
        </is>
      </c>
      <c r="H20" s="16" t="inlineStr">
        <is>
          <t>Solve 1 BST + write API design + complete cache</t>
        </is>
      </c>
      <c r="I20" s="16" t="inlineStr">
        <is>
          <t>2 hrs</t>
        </is>
      </c>
      <c r="J20" s="16" t="inlineStr"/>
      <c r="K20" s="16" t="inlineStr"/>
      <c r="L20" s="16" t="inlineStr"/>
      <c r="M20" s="16" t="inlineStr"/>
      <c r="N20" s="16" t="inlineStr"/>
    </row>
    <row r="21" ht="50" customHeight="1">
      <c r="A21" s="16" t="inlineStr">
        <is>
          <t>2026-09-13</t>
        </is>
      </c>
      <c r="B21" s="16" t="n">
        <v>3</v>
      </c>
      <c r="C21" s="16" t="inlineStr">
        <is>
          <t>Sun</t>
        </is>
      </c>
      <c r="D21" s="16" t="inlineStr"/>
      <c r="E21" s="16" t="inlineStr">
        <is>
          <t>Binary search on answer (min days, capacity, koko)</t>
        </is>
      </c>
      <c r="F21" s="16" t="inlineStr">
        <is>
          <t>Scaling reads: replicas, fan-out, CQRS</t>
        </is>
      </c>
      <c r="G21" s="16" t="inlineStr">
        <is>
          <t>LLD: Splitwise — entities, balances, simplify debts</t>
        </is>
      </c>
      <c r="H21" s="16" t="inlineStr">
        <is>
          <t>Solve 1 BS-on-answer + study reads + start splitwise</t>
        </is>
      </c>
      <c r="I21" s="16" t="inlineStr">
        <is>
          <t>2 hrs</t>
        </is>
      </c>
      <c r="J21" s="16" t="inlineStr"/>
      <c r="K21" s="16" t="inlineStr"/>
      <c r="L21" s="16" t="inlineStr"/>
      <c r="M21" s="16" t="inlineStr"/>
      <c r="N21" s="16" t="inlineStr"/>
    </row>
    <row r="22" ht="50" customHeight="1">
      <c r="A22" s="16" t="inlineStr">
        <is>
          <t>2026-09-14</t>
        </is>
      </c>
      <c r="B22" s="16" t="n">
        <v>3</v>
      </c>
      <c r="C22" s="16" t="inlineStr">
        <is>
          <t>Mon</t>
        </is>
      </c>
      <c r="D22" s="16" t="inlineStr"/>
      <c r="E22" s="16" t="inlineStr">
        <is>
          <t>Revision: DP + Trees + BS</t>
        </is>
      </c>
      <c r="F22" s="16" t="inlineStr">
        <is>
          <t>Review: URL shortener + rate limiter from scratch</t>
        </is>
      </c>
      <c r="G22" s="16" t="inlineStr">
        <is>
          <t>Review: parking lot + cache from scratch</t>
        </is>
      </c>
      <c r="H22" s="16" t="inlineStr">
        <is>
          <t>Re-solve hardest + redo designs without notes</t>
        </is>
      </c>
      <c r="I22" s="16" t="inlineStr">
        <is>
          <t>2 hrs</t>
        </is>
      </c>
      <c r="J22" s="16" t="inlineStr"/>
      <c r="K22" s="16" t="inlineStr"/>
      <c r="L22" s="16" t="inlineStr"/>
      <c r="M22" s="16" t="inlineStr"/>
      <c r="N22" s="16" t="inlineStr"/>
    </row>
    <row r="23" ht="50" customHeight="1">
      <c r="A23" s="17" t="inlineStr">
        <is>
          <t>2026-09-15</t>
        </is>
      </c>
      <c r="B23" s="17" t="n">
        <v>4</v>
      </c>
      <c r="C23" s="17" t="inlineStr">
        <is>
          <t>Tue</t>
        </is>
      </c>
      <c r="D23" s="17" t="inlineStr"/>
      <c r="E23" s="17" t="inlineStr">
        <is>
          <t>Sliding window hard (min window substring, longest unique)</t>
        </is>
      </c>
      <c r="F23" s="17" t="inlineStr">
        <is>
          <t>Notification system (push, SMS, email, priorities)</t>
        </is>
      </c>
      <c r="G23" s="17" t="inlineStr">
        <is>
          <t>LLD: Splitwise — complete flows, settle-up, groups</t>
        </is>
      </c>
      <c r="H23" s="17" t="inlineStr">
        <is>
          <t>Solve 1 hard sliding window + design notif + finish splitwise</t>
        </is>
      </c>
      <c r="I23" s="17" t="inlineStr">
        <is>
          <t>2.5 hrs</t>
        </is>
      </c>
      <c r="J23" s="17" t="inlineStr"/>
      <c r="K23" s="17" t="inlineStr"/>
      <c r="L23" s="17" t="inlineStr"/>
      <c r="M23" s="17" t="inlineStr"/>
      <c r="N23" s="17" t="inlineStr"/>
    </row>
    <row r="24" ht="50" customHeight="1">
      <c r="A24" s="17" t="inlineStr">
        <is>
          <t>2026-09-16</t>
        </is>
      </c>
      <c r="B24" s="17" t="n">
        <v>4</v>
      </c>
      <c r="C24" s="17" t="inlineStr">
        <is>
          <t>Wed</t>
        </is>
      </c>
      <c r="D24" s="17" t="inlineStr"/>
      <c r="E24" s="17" t="inlineStr">
        <is>
          <t>Heap: merge K sorted, median stream, top K frequent</t>
        </is>
      </c>
      <c r="F24" s="17" t="inlineStr">
        <is>
          <t>News feed (fanout write vs read, ranking, celebrity)</t>
        </is>
      </c>
      <c r="G24" s="17" t="inlineStr">
        <is>
          <t>LLD: Elevator — states, scheduling, direction logic</t>
        </is>
      </c>
      <c r="H24" s="17" t="inlineStr">
        <is>
          <t>Solve 1 heap + design feed + sketch elevator</t>
        </is>
      </c>
      <c r="I24" s="17" t="inlineStr">
        <is>
          <t>2.5 hrs</t>
        </is>
      </c>
      <c r="J24" s="17" t="inlineStr"/>
      <c r="K24" s="17" t="inlineStr"/>
      <c r="L24" s="17" t="inlineStr"/>
      <c r="M24" s="17" t="inlineStr"/>
      <c r="N24" s="17" t="inlineStr"/>
    </row>
    <row r="25" ht="50" customHeight="1">
      <c r="A25" s="17" t="inlineStr">
        <is>
          <t>2026-09-17</t>
        </is>
      </c>
      <c r="B25" s="17" t="n">
        <v>4</v>
      </c>
      <c r="C25" s="17" t="inlineStr">
        <is>
          <t>Thu</t>
        </is>
      </c>
      <c r="D25" s="17" t="inlineStr"/>
      <c r="E25" s="17" t="inlineStr">
        <is>
          <t>Stack: monotonic stack (next greater, trapping rain)</t>
        </is>
      </c>
      <c r="F25" s="17" t="inlineStr">
        <is>
          <t>Chat system (WebSocket, presence, delivery, storage)</t>
        </is>
      </c>
      <c r="G25" s="17" t="inlineStr">
        <is>
          <t>LLD: Elevator — complete with edge cases</t>
        </is>
      </c>
      <c r="H25" s="17" t="inlineStr">
        <is>
          <t>Solve 1 monotonic stack + design chat + finish elevator</t>
        </is>
      </c>
      <c r="I25" s="17" t="inlineStr">
        <is>
          <t>2.5 hrs</t>
        </is>
      </c>
      <c r="J25" s="17" t="inlineStr"/>
      <c r="K25" s="17" t="inlineStr"/>
      <c r="L25" s="17" t="inlineStr"/>
      <c r="M25" s="17" t="inlineStr"/>
      <c r="N25" s="17" t="inlineStr"/>
    </row>
    <row r="26" ht="50" customHeight="1">
      <c r="A26" s="17" t="inlineStr">
        <is>
          <t>2026-09-18</t>
        </is>
      </c>
      <c r="B26" s="17" t="n">
        <v>4</v>
      </c>
      <c r="C26" s="17" t="inlineStr">
        <is>
          <t>Fri</t>
        </is>
      </c>
      <c r="D26" s="17" t="inlineStr"/>
      <c r="E26" s="17" t="inlineStr">
        <is>
          <t>Backtracking (word search, N-queens, combinations)</t>
        </is>
      </c>
      <c r="F26" s="17" t="inlineStr">
        <is>
          <t>File storage (upload, chunking, metadata, sync)</t>
        </is>
      </c>
      <c r="G26" s="17" t="inlineStr">
        <is>
          <t>LLD: Movie ticket booking — seats, concurrency</t>
        </is>
      </c>
      <c r="H26" s="17" t="inlineStr">
        <is>
          <t>Solve 1 backtracking + design file storage + sketch booking</t>
        </is>
      </c>
      <c r="I26" s="17" t="inlineStr">
        <is>
          <t>2.5 hrs</t>
        </is>
      </c>
      <c r="J26" s="17" t="inlineStr"/>
      <c r="K26" s="17" t="inlineStr"/>
      <c r="L26" s="17" t="inlineStr"/>
      <c r="M26" s="17" t="inlineStr"/>
      <c r="N26" s="17" t="inlineStr"/>
    </row>
    <row r="27" ht="50" customHeight="1">
      <c r="A27" s="17" t="inlineStr">
        <is>
          <t>2026-09-19</t>
        </is>
      </c>
      <c r="B27" s="17" t="n">
        <v>4</v>
      </c>
      <c r="C27" s="17" t="inlineStr">
        <is>
          <t>Sat</t>
        </is>
      </c>
      <c r="D27" s="17" t="inlineStr"/>
      <c r="E27" s="17" t="inlineStr">
        <is>
          <t>Greedy (jump game, task scheduler, meeting rooms)</t>
        </is>
      </c>
      <c r="F27" s="17" t="inlineStr">
        <is>
          <t>Failure modes: SPOF, cascading, circuit breaker</t>
        </is>
      </c>
      <c r="G27" s="17" t="inlineStr">
        <is>
          <t>LLD: Booking — payment, timeout, state machine</t>
        </is>
      </c>
      <c r="H27" s="17" t="inlineStr">
        <is>
          <t>Solve 1 greedy + study failures + complete booking</t>
        </is>
      </c>
      <c r="I27" s="17" t="inlineStr">
        <is>
          <t>2.5 hrs</t>
        </is>
      </c>
      <c r="J27" s="17" t="inlineStr"/>
      <c r="K27" s="17" t="inlineStr"/>
      <c r="L27" s="17" t="inlineStr"/>
      <c r="M27" s="17" t="inlineStr"/>
      <c r="N27" s="17" t="inlineStr"/>
    </row>
    <row r="28" ht="50" customHeight="1">
      <c r="A28" s="17" t="inlineStr">
        <is>
          <t>2026-09-20</t>
        </is>
      </c>
      <c r="B28" s="17" t="n">
        <v>4</v>
      </c>
      <c r="C28" s="17" t="inlineStr">
        <is>
          <t>Sun</t>
        </is>
      </c>
      <c r="D28" s="17" t="inlineStr"/>
      <c r="E28" s="17" t="inlineStr">
        <is>
          <t>Intervals + Linked list</t>
        </is>
      </c>
      <c r="F28" s="17" t="inlineStr">
        <is>
          <t>Observability: logs, metrics, traces, alerts</t>
        </is>
      </c>
      <c r="G28" s="17" t="inlineStr">
        <is>
          <t>LLD: Vending machine — state pattern, transitions</t>
        </is>
      </c>
      <c r="H28" s="17" t="inlineStr">
        <is>
          <t>Solve 1 each + study observability + sketch vending</t>
        </is>
      </c>
      <c r="I28" s="17" t="inlineStr">
        <is>
          <t>2.5 hrs</t>
        </is>
      </c>
      <c r="J28" s="17" t="inlineStr"/>
      <c r="K28" s="17" t="inlineStr"/>
      <c r="L28" s="17" t="inlineStr"/>
      <c r="M28" s="17" t="inlineStr"/>
      <c r="N28" s="17" t="inlineStr"/>
    </row>
    <row r="29" ht="50" customHeight="1">
      <c r="A29" s="17" t="inlineStr">
        <is>
          <t>2026-09-21</t>
        </is>
      </c>
      <c r="B29" s="17" t="n">
        <v>4</v>
      </c>
      <c r="C29" s="17" t="inlineStr">
        <is>
          <t>Mon</t>
        </is>
      </c>
      <c r="D29" s="17" t="inlineStr"/>
      <c r="E29" s="17" t="inlineStr">
        <is>
          <t>Revision: all hard patterns</t>
        </is>
      </c>
      <c r="F29" s="17" t="inlineStr">
        <is>
          <t>Review: pick weakest HLD, redo</t>
        </is>
      </c>
      <c r="G29" s="17" t="inlineStr">
        <is>
          <t>Review: pick weakest LLD, redo</t>
        </is>
      </c>
      <c r="H29" s="17" t="inlineStr">
        <is>
          <t>Re-solve 2 mistakes + redo weakest designs</t>
        </is>
      </c>
      <c r="I29" s="17" t="inlineStr">
        <is>
          <t>2 hrs</t>
        </is>
      </c>
      <c r="J29" s="17" t="inlineStr"/>
      <c r="K29" s="17" t="inlineStr"/>
      <c r="L29" s="17" t="inlineStr"/>
      <c r="M29" s="17" t="inlineStr"/>
      <c r="N29" s="17" t="inlineStr"/>
    </row>
    <row r="30" ht="50" customHeight="1">
      <c r="A30" s="18" t="inlineStr">
        <is>
          <t>2026-09-22</t>
        </is>
      </c>
      <c r="B30" s="18" t="n">
        <v>5</v>
      </c>
      <c r="C30" s="18" t="inlineStr">
        <is>
          <t>Tue</t>
        </is>
      </c>
      <c r="D30" s="18" t="inlineStr"/>
      <c r="E30" s="18" t="inlineStr">
        <is>
          <t>Timed: DP problems (60 min)</t>
        </is>
      </c>
      <c r="F30" s="18" t="inlineStr">
        <is>
          <t>Revise URL shortener + rate limiter</t>
        </is>
      </c>
      <c r="G30" s="18" t="inlineStr">
        <is>
          <t>LLD: Snake and ladder — board, dice, players</t>
        </is>
      </c>
      <c r="H30" s="18" t="inlineStr">
        <is>
          <t>Solve 2 DP timed + speak HLD + sketch game</t>
        </is>
      </c>
      <c r="I30" s="18" t="inlineStr">
        <is>
          <t>2.5 hrs</t>
        </is>
      </c>
      <c r="J30" s="18" t="inlineStr"/>
      <c r="K30" s="18" t="inlineStr"/>
      <c r="L30" s="18" t="inlineStr"/>
      <c r="M30" s="18" t="inlineStr"/>
      <c r="N30" s="18" t="inlineStr"/>
    </row>
    <row r="31" ht="50" customHeight="1">
      <c r="A31" s="18" t="inlineStr">
        <is>
          <t>2026-09-23</t>
        </is>
      </c>
      <c r="B31" s="18" t="n">
        <v>5</v>
      </c>
      <c r="C31" s="18" t="inlineStr">
        <is>
          <t>Wed</t>
        </is>
      </c>
      <c r="D31" s="18" t="inlineStr"/>
      <c r="E31" s="18" t="inlineStr">
        <is>
          <t>Timed: Graphs + Trees (50 min)</t>
        </is>
      </c>
      <c r="F31" s="18" t="inlineStr">
        <is>
          <t>Revise notification + news feed</t>
        </is>
      </c>
      <c r="G31" s="18" t="inlineStr">
        <is>
          <t>LLD: Snake and ladder — complete with rules</t>
        </is>
      </c>
      <c r="H31" s="18" t="inlineStr">
        <is>
          <t>Solve 2 timed + speak HLD + finish game</t>
        </is>
      </c>
      <c r="I31" s="18" t="inlineStr">
        <is>
          <t>2.5 hrs</t>
        </is>
      </c>
      <c r="J31" s="18" t="inlineStr"/>
      <c r="K31" s="18" t="inlineStr"/>
      <c r="L31" s="18" t="inlineStr"/>
      <c r="M31" s="18" t="inlineStr"/>
      <c r="N31" s="18" t="inlineStr"/>
    </row>
    <row r="32" ht="50" customHeight="1">
      <c r="A32" s="18" t="inlineStr">
        <is>
          <t>2026-09-24</t>
        </is>
      </c>
      <c r="B32" s="18" t="n">
        <v>5</v>
      </c>
      <c r="C32" s="18" t="inlineStr">
        <is>
          <t>Thu</t>
        </is>
      </c>
      <c r="D32" s="18" t="inlineStr"/>
      <c r="E32" s="18" t="inlineStr">
        <is>
          <t>Timed: Binary search + Sliding window (50 min)</t>
        </is>
      </c>
      <c r="F32" s="18" t="inlineStr">
        <is>
          <t>Revise chat + file storage</t>
        </is>
      </c>
      <c r="G32" s="18" t="inlineStr">
        <is>
          <t>LLD: Logger framework — levels, sinks, format</t>
        </is>
      </c>
      <c r="H32" s="18" t="inlineStr">
        <is>
          <t>Solve 2 timed + speak HLD + sketch logger</t>
        </is>
      </c>
      <c r="I32" s="18" t="inlineStr">
        <is>
          <t>2.5 hrs</t>
        </is>
      </c>
      <c r="J32" s="18" t="inlineStr"/>
      <c r="K32" s="18" t="inlineStr"/>
      <c r="L32" s="18" t="inlineStr"/>
      <c r="M32" s="18" t="inlineStr"/>
      <c r="N32" s="18" t="inlineStr"/>
    </row>
    <row r="33" ht="50" customHeight="1">
      <c r="A33" s="18" t="inlineStr">
        <is>
          <t>2026-09-25</t>
        </is>
      </c>
      <c r="B33" s="18" t="n">
        <v>5</v>
      </c>
      <c r="C33" s="18" t="inlineStr">
        <is>
          <t>Fri</t>
        </is>
      </c>
      <c r="D33" s="18" t="inlineStr"/>
      <c r="E33" s="18" t="inlineStr">
        <is>
          <t>Timed: Heap + Stack + mixed (50 min)</t>
        </is>
      </c>
      <c r="F33" s="18" t="inlineStr">
        <is>
          <t>Revise consistency, sharding, failure, observability</t>
        </is>
      </c>
      <c r="G33" s="18" t="inlineStr">
        <is>
          <t>LLD: Logger — complete with interface and extension</t>
        </is>
      </c>
      <c r="H33" s="18" t="inlineStr">
        <is>
          <t>Solve 2 timed + review concepts + finish logger</t>
        </is>
      </c>
      <c r="I33" s="18" t="inlineStr">
        <is>
          <t>2.5 hrs</t>
        </is>
      </c>
      <c r="J33" s="18" t="inlineStr"/>
      <c r="K33" s="18" t="inlineStr"/>
      <c r="L33" s="18" t="inlineStr"/>
      <c r="M33" s="18" t="inlineStr"/>
      <c r="N33" s="18" t="inlineStr"/>
    </row>
    <row r="34" ht="50" customHeight="1">
      <c r="A34" s="18" t="inlineStr">
        <is>
          <t>2026-09-26</t>
        </is>
      </c>
      <c r="B34" s="18" t="n">
        <v>5</v>
      </c>
      <c r="C34" s="18" t="inlineStr">
        <is>
          <t>Sat</t>
        </is>
      </c>
      <c r="D34" s="18" t="inlineStr"/>
      <c r="E34" s="18" t="inlineStr">
        <is>
          <t>Mistake repair: top 5 hardest DSA</t>
        </is>
      </c>
      <c r="F34" s="18" t="inlineStr">
        <is>
          <t>Review all HLD tradeoffs</t>
        </is>
      </c>
      <c r="G34" s="18" t="inlineStr">
        <is>
          <t>Review all LLD: reproduce from memory</t>
        </is>
      </c>
      <c r="H34" s="18" t="inlineStr">
        <is>
          <t>Re-solve hardest mistakes + tighten designs</t>
        </is>
      </c>
      <c r="I34" s="18" t="inlineStr">
        <is>
          <t>2.5 hrs</t>
        </is>
      </c>
      <c r="J34" s="18" t="inlineStr"/>
      <c r="K34" s="18" t="inlineStr"/>
      <c r="L34" s="18" t="inlineStr"/>
      <c r="M34" s="18" t="inlineStr"/>
      <c r="N34" s="18" t="inlineStr"/>
    </row>
    <row r="35" ht="50" customHeight="1">
      <c r="A35" s="18" t="inlineStr">
        <is>
          <t>2026-09-27</t>
        </is>
      </c>
      <c r="B35" s="18" t="n">
        <v>5</v>
      </c>
      <c r="C35" s="18" t="inlineStr">
        <is>
          <t>Sun</t>
        </is>
      </c>
      <c r="D35" s="18" t="inlineStr"/>
      <c r="E35" s="18" t="inlineStr">
        <is>
          <t>Mistake repair: next 5 DSA</t>
        </is>
      </c>
      <c r="F35" s="18" t="inlineStr">
        <is>
          <t>Practice explaining 1 HLD cold</t>
        </is>
      </c>
      <c r="G35" s="18" t="inlineStr">
        <is>
          <t>Practice explaining 1 LLD cold</t>
        </is>
      </c>
      <c r="H35" s="18" t="inlineStr">
        <is>
          <t>Re-solve + cold explanations</t>
        </is>
      </c>
      <c r="I35" s="18" t="inlineStr">
        <is>
          <t>2.5 hrs</t>
        </is>
      </c>
      <c r="J35" s="18" t="inlineStr"/>
      <c r="K35" s="18" t="inlineStr"/>
      <c r="L35" s="18" t="inlineStr"/>
      <c r="M35" s="18" t="inlineStr"/>
      <c r="N35" s="18" t="inlineStr"/>
    </row>
    <row r="36" ht="50" customHeight="1">
      <c r="A36" s="18" t="inlineStr">
        <is>
          <t>2026-09-28</t>
        </is>
      </c>
      <c r="B36" s="18" t="n">
        <v>5</v>
      </c>
      <c r="C36" s="18" t="inlineStr">
        <is>
          <t>Mon</t>
        </is>
      </c>
      <c r="D36" s="18" t="inlineStr"/>
      <c r="E36" s="18" t="inlineStr">
        <is>
          <t>Trie + Union find (if not covered)</t>
        </is>
      </c>
      <c r="F36" s="18" t="inlineStr">
        <is>
          <t>Weakest HLD from scratch</t>
        </is>
      </c>
      <c r="G36" s="18" t="inlineStr">
        <is>
          <t>Weakest LLD from scratch</t>
        </is>
      </c>
      <c r="H36" s="18" t="inlineStr">
        <is>
          <t>Cover remaining + redo weakest</t>
        </is>
      </c>
      <c r="I36" s="18" t="inlineStr">
        <is>
          <t>2 hrs</t>
        </is>
      </c>
      <c r="J36" s="18" t="inlineStr"/>
      <c r="K36" s="18" t="inlineStr"/>
      <c r="L36" s="18" t="inlineStr"/>
      <c r="M36" s="18" t="inlineStr"/>
      <c r="N36" s="18" t="inlineStr"/>
    </row>
    <row r="37" ht="50" customHeight="1">
      <c r="A37" s="19" t="inlineStr">
        <is>
          <t>2026-09-29</t>
        </is>
      </c>
      <c r="B37" s="19" t="n">
        <v>6</v>
      </c>
      <c r="C37" s="19" t="inlineStr">
        <is>
          <t>Tue</t>
        </is>
      </c>
      <c r="D37" s="19" t="inlineStr"/>
      <c r="E37" s="19" t="inlineStr">
        <is>
          <t>Final: DP 1D + 2D + knapsack</t>
        </is>
      </c>
      <c r="F37" s="19" t="inlineStr">
        <is>
          <t>Revise: URL shortener + rate limiter</t>
        </is>
      </c>
      <c r="G37" s="19" t="inlineStr">
        <is>
          <t>Revise: parking lot + cache LRU</t>
        </is>
      </c>
      <c r="H37" s="19" t="inlineStr">
        <is>
          <t>Re-solve 2 hardest DP + speak designs</t>
        </is>
      </c>
      <c r="I37" s="19" t="inlineStr">
        <is>
          <t>2.5 hrs</t>
        </is>
      </c>
      <c r="J37" s="19" t="inlineStr"/>
      <c r="K37" s="19" t="inlineStr"/>
      <c r="L37" s="19" t="inlineStr"/>
      <c r="M37" s="19" t="inlineStr"/>
      <c r="N37" s="19" t="inlineStr"/>
    </row>
    <row r="38" ht="50" customHeight="1">
      <c r="A38" s="19" t="inlineStr">
        <is>
          <t>2026-09-30</t>
        </is>
      </c>
      <c r="B38" s="19" t="n">
        <v>6</v>
      </c>
      <c r="C38" s="19" t="inlineStr">
        <is>
          <t>Wed</t>
        </is>
      </c>
      <c r="D38" s="19" t="inlineStr"/>
      <c r="E38" s="19" t="inlineStr">
        <is>
          <t>Final: Graphs + topo sort + shortest path</t>
        </is>
      </c>
      <c r="F38" s="19" t="inlineStr">
        <is>
          <t>Revise: notifications + news feed</t>
        </is>
      </c>
      <c r="G38" s="19" t="inlineStr">
        <is>
          <t>Revise: splitwise + elevator</t>
        </is>
      </c>
      <c r="H38" s="19" t="inlineStr">
        <is>
          <t>Re-solve 2 graph + speak designs</t>
        </is>
      </c>
      <c r="I38" s="19" t="inlineStr">
        <is>
          <t>2.5 hrs</t>
        </is>
      </c>
      <c r="J38" s="19" t="inlineStr"/>
      <c r="K38" s="19" t="inlineStr"/>
      <c r="L38" s="19" t="inlineStr"/>
      <c r="M38" s="19" t="inlineStr"/>
      <c r="N38" s="19" t="inlineStr"/>
    </row>
    <row r="39" ht="50" customHeight="1">
      <c r="A39" s="19" t="inlineStr">
        <is>
          <t>2026-10-01</t>
        </is>
      </c>
      <c r="B39" s="19" t="n">
        <v>6</v>
      </c>
      <c r="C39" s="19" t="inlineStr">
        <is>
          <t>Thu</t>
        </is>
      </c>
      <c r="D39" s="19" t="inlineStr"/>
      <c r="E39" s="19" t="inlineStr">
        <is>
          <t>Final: Trees + BST + binary search</t>
        </is>
      </c>
      <c r="F39" s="19" t="inlineStr">
        <is>
          <t>Revise: chat + file storage</t>
        </is>
      </c>
      <c r="G39" s="19" t="inlineStr">
        <is>
          <t>Revise: booking + vending machine</t>
        </is>
      </c>
      <c r="H39" s="19" t="inlineStr">
        <is>
          <t>Re-solve 2 tree/BS + speak designs</t>
        </is>
      </c>
      <c r="I39" s="19" t="inlineStr">
        <is>
          <t>2 hrs</t>
        </is>
      </c>
      <c r="J39" s="19" t="inlineStr"/>
      <c r="K39" s="19" t="inlineStr"/>
      <c r="L39" s="19" t="inlineStr"/>
      <c r="M39" s="19" t="inlineStr"/>
      <c r="N39" s="19" t="inlineStr"/>
    </row>
    <row r="40" ht="50" customHeight="1">
      <c r="A40" s="19" t="inlineStr">
        <is>
          <t>2026-10-02</t>
        </is>
      </c>
      <c r="B40" s="19" t="n">
        <v>6</v>
      </c>
      <c r="C40" s="19" t="inlineStr">
        <is>
          <t>Fri</t>
        </is>
      </c>
      <c r="D40" s="19" t="inlineStr"/>
      <c r="E40" s="19" t="inlineStr">
        <is>
          <t>Final: Sliding window + heap + stack</t>
        </is>
      </c>
      <c r="F40" s="19" t="inlineStr">
        <is>
          <t>Revise: scaling, caching, consistency, failure</t>
        </is>
      </c>
      <c r="G40" s="19" t="inlineStr">
        <is>
          <t>Revise: snake &amp; ladder + logger</t>
        </is>
      </c>
      <c r="H40" s="19" t="inlineStr">
        <is>
          <t>Re-solve 2 + review all concepts</t>
        </is>
      </c>
      <c r="I40" s="19" t="inlineStr">
        <is>
          <t>2 hrs</t>
        </is>
      </c>
      <c r="J40" s="19" t="inlineStr"/>
      <c r="K40" s="19" t="inlineStr"/>
      <c r="L40" s="19" t="inlineStr"/>
      <c r="M40" s="19" t="inlineStr"/>
      <c r="N40" s="19" t="inlineStr"/>
    </row>
    <row r="41" ht="50" customHeight="1">
      <c r="A41" s="19" t="inlineStr">
        <is>
          <t>2026-10-03</t>
        </is>
      </c>
      <c r="B41" s="19" t="n">
        <v>6</v>
      </c>
      <c r="C41" s="19" t="inlineStr">
        <is>
          <t>Sat</t>
        </is>
      </c>
      <c r="D41" s="19" t="inlineStr"/>
      <c r="E41" s="19" t="inlineStr">
        <is>
          <t>Final: Backtracking + greedy + intervals</t>
        </is>
      </c>
      <c r="F41" s="19" t="inlineStr">
        <is>
          <t>Behavioral: ownership, failure, impact, conflict</t>
        </is>
      </c>
      <c r="G41" s="19" t="inlineStr">
        <is>
          <t>Revise: SOLID + all design patterns</t>
        </is>
      </c>
      <c r="H41" s="19" t="inlineStr">
        <is>
          <t>Re-solve 2 + practice behavioral + review SOLID</t>
        </is>
      </c>
      <c r="I41" s="19" t="inlineStr">
        <is>
          <t>2 hrs</t>
        </is>
      </c>
      <c r="J41" s="19" t="inlineStr"/>
      <c r="K41" s="19" t="inlineStr"/>
      <c r="L41" s="19" t="inlineStr"/>
      <c r="M41" s="19" t="inlineStr"/>
      <c r="N41" s="19" t="inlineStr"/>
    </row>
    <row r="42" ht="50" customHeight="1">
      <c r="A42" s="19" t="inlineStr">
        <is>
          <t>2026-10-04</t>
        </is>
      </c>
      <c r="B42" s="19" t="n">
        <v>6</v>
      </c>
      <c r="C42" s="19" t="inlineStr">
        <is>
          <t>Sun</t>
        </is>
      </c>
      <c r="D42" s="19" t="inlineStr"/>
      <c r="E42" s="19" t="inlineStr">
        <is>
          <t>Final: full practice day</t>
        </is>
      </c>
      <c r="F42" s="19" t="inlineStr">
        <is>
          <t>Reproduce any HLD from scratch (45 min)</t>
        </is>
      </c>
      <c r="G42" s="19" t="inlineStr">
        <is>
          <t>Reproduce any LLD from scratch (40 min)</t>
        </is>
      </c>
      <c r="H42" s="19" t="inlineStr">
        <is>
          <t>Full: 2 DSA + 1 HLD + 1 LLD from scratch</t>
        </is>
      </c>
      <c r="I42" s="19" t="inlineStr">
        <is>
          <t>3 hrs</t>
        </is>
      </c>
      <c r="J42" s="19" t="inlineStr"/>
      <c r="K42" s="19" t="inlineStr"/>
      <c r="L42" s="19" t="inlineStr"/>
      <c r="M42" s="19" t="inlineStr"/>
      <c r="N42" s="19" t="inlineStr"/>
    </row>
    <row r="43" ht="50" customHeight="1">
      <c r="A43" s="19" t="inlineStr">
        <is>
          <t>2026-10-05</t>
        </is>
      </c>
      <c r="B43" s="19" t="n">
        <v>6</v>
      </c>
      <c r="C43" s="19" t="inlineStr">
        <is>
          <t>Mon</t>
        </is>
      </c>
      <c r="D43" s="19" t="inlineStr"/>
      <c r="E43" s="19" t="inlineStr">
        <is>
          <t>Rest + light review</t>
        </is>
      </c>
      <c r="F43" s="19" t="inlineStr">
        <is>
          <t>Read HLD notes only</t>
        </is>
      </c>
      <c r="G43" s="19" t="inlineStr">
        <is>
          <t>Read LLD notes only</t>
        </is>
      </c>
      <c r="H43" s="19" t="inlineStr">
        <is>
          <t>No new problems. Trust prep. Rest.</t>
        </is>
      </c>
      <c r="I43" s="19" t="inlineStr">
        <is>
          <t>1 hr</t>
        </is>
      </c>
      <c r="J43" s="19" t="inlineStr"/>
      <c r="K43" s="19" t="inlineStr"/>
      <c r="L43" s="19" t="inlineStr"/>
      <c r="M43" s="19" t="inlineStr"/>
      <c r="N43" s="19" t="inlineStr"/>
    </row>
  </sheetData>
  <autoFilter ref="A1:N43"/>
  <dataValidations count="5">
    <dataValidation sqref="D2:D200" showDropDown="0" showInputMessage="0" showErrorMessage="0" allowBlank="1" type="list">
      <formula1>"Low,Medium,High"</formula1>
    </dataValidation>
    <dataValidation sqref="K2:K200" showDropDown="0" showInputMessage="0" showErrorMessage="0" allowBlank="1" type="list">
      <formula1>"Yes,No,Partial"</formula1>
    </dataValidation>
    <dataValidation sqref="L2:L200" showDropDown="0" showInputMessage="0" showErrorMessage="0" allowBlank="1" type="list">
      <formula1>"Yes,No"</formula1>
    </dataValidation>
    <dataValidation sqref="M2:M200" showDropDown="0" showInputMessage="0" showErrorMessage="0" allowBlank="1" type="list">
      <formula1>"Yes,No"</formula1>
    </dataValidation>
    <dataValidation sqref="N2:N200" showDropDown="0" showInputMessage="0" showErrorMessage="0" allowBlank="1" type="list">
      <formula1>"0,1,2,3,4,5"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18" customWidth="1" min="4" max="4"/>
    <col width="38" customWidth="1" min="5" max="5"/>
    <col width="38" customWidth="1" min="6" max="6"/>
  </cols>
  <sheetData>
    <row r="1">
      <c r="A1" s="11" t="inlineStr">
        <is>
          <t>Week</t>
        </is>
      </c>
      <c r="B1" s="11" t="inlineStr">
        <is>
          <t>Theme</t>
        </is>
      </c>
      <c r="C1" s="11" t="inlineStr">
        <is>
          <t>Main Outcome</t>
        </is>
      </c>
      <c r="D1" s="11" t="inlineStr">
        <is>
          <t>Daily Load</t>
        </is>
      </c>
      <c r="E1" s="11" t="inlineStr">
        <is>
          <t>Non-negotiable</t>
        </is>
      </c>
      <c r="F1" s="11" t="inlineStr">
        <is>
          <t>End of Week Check</t>
        </is>
      </c>
    </row>
    <row r="2">
      <c r="A2" s="5" t="inlineStr">
        <is>
          <t>1</t>
        </is>
      </c>
      <c r="B2" s="5" t="inlineStr">
        <is>
          <t>Lenient — build rhythm</t>
        </is>
      </c>
      <c r="C2" s="5" t="inlineStr">
        <is>
          <t>Warm-up: arrays, 2ptr, sliding, BS + easy DP + easy graph | No HLD/LLD</t>
        </is>
      </c>
      <c r="D2" s="5" t="inlineStr">
        <is>
          <t>45-60 min</t>
        </is>
      </c>
      <c r="E2" s="5" t="inlineStr">
        <is>
          <t>Just show up daily and solve one</t>
        </is>
      </c>
      <c r="F2" s="5" t="inlineStr">
        <is>
          <t>5+ days done; can solve easy/medium</t>
        </is>
      </c>
    </row>
    <row r="3">
      <c r="A3" s="14" t="inlineStr">
        <is>
          <t>2</t>
        </is>
      </c>
      <c r="B3" s="14" t="inlineStr">
        <is>
          <t>Hard DSA first + HLD/LLD basics</t>
        </is>
      </c>
      <c r="C3" s="14" t="inlineStr">
        <is>
          <t>DP 1D/2D + Graphs (DFS, topo, BFS) + SD template, estimation, cache, DB + OOP, SOLID, patterns</t>
        </is>
      </c>
      <c r="D3" s="14" t="inlineStr">
        <is>
          <t>100 min - 2 hrs</t>
        </is>
      </c>
      <c r="E3" s="14" t="inlineStr">
        <is>
          <t>One hard DSA + one HLD + one LLD concept</t>
        </is>
      </c>
      <c r="F3" s="14" t="inlineStr">
        <is>
          <t>DP/Graph not terrifying; SD template + SOLID memorized</t>
        </is>
      </c>
    </row>
    <row r="4">
      <c r="A4" s="2" t="inlineStr">
        <is>
          <t>3</t>
        </is>
      </c>
      <c r="B4" s="2" t="inlineStr">
        <is>
          <t>More hard DSA + first full designs</t>
        </is>
      </c>
      <c r="C4" s="2" t="inlineStr">
        <is>
          <t>DP knapsack/string, Trees, BST, BS-on-answer + URL shortener, rate limiter + Parking lot, Cache LRU, Splitwise</t>
        </is>
      </c>
      <c r="D4" s="2" t="inlineStr">
        <is>
          <t>2 hrs</t>
        </is>
      </c>
      <c r="E4" s="2" t="inlineStr">
        <is>
          <t>Hard DSA + complete designs</t>
        </is>
      </c>
      <c r="F4" s="2" t="inlineStr">
        <is>
          <t>2 HLD and 3 LLD done from scratch</t>
        </is>
      </c>
    </row>
    <row r="5">
      <c r="A5" s="2" t="inlineStr">
        <is>
          <t>4</t>
        </is>
      </c>
      <c r="B5" s="2" t="inlineStr">
        <is>
          <t>Remaining hard + deeper designs</t>
        </is>
      </c>
      <c r="C5" s="2" t="inlineStr">
        <is>
          <t>Sliding window hard, heap, monotonic stack, backtracking, greedy + feed, chat, file storage + elevator, booking, vending machine</t>
        </is>
      </c>
      <c r="D5" s="2" t="inlineStr">
        <is>
          <t>2-2.5 hrs</t>
        </is>
      </c>
      <c r="E5" s="2" t="inlineStr">
        <is>
          <t>All hard patterns + all designs</t>
        </is>
      </c>
      <c r="F5" s="2" t="inlineStr">
        <is>
          <t>Full coverage DSA + HLD + LLD</t>
        </is>
      </c>
    </row>
    <row r="6">
      <c r="A6" s="13" t="inlineStr">
        <is>
          <t>5</t>
        </is>
      </c>
      <c r="B6" s="13" t="inlineStr">
        <is>
          <t>Timed hard DSA + strengthen designs</t>
        </is>
      </c>
      <c r="C6" s="13" t="inlineStr">
        <is>
          <t>Timed DP/graphs/trees first + revise all HLD + snake &amp; ladder, logger</t>
        </is>
      </c>
      <c r="D6" s="13" t="inlineStr">
        <is>
          <t>2.5 hrs</t>
        </is>
      </c>
      <c r="E6" s="13" t="inlineStr">
        <is>
          <t>Timed hard problems + reproduce designs from memory</t>
        </is>
      </c>
      <c r="F6" s="13" t="inlineStr">
        <is>
          <t>Fast under pressure; designs reproducible</t>
        </is>
      </c>
    </row>
    <row r="7">
      <c r="A7" s="13" t="inlineStr">
        <is>
          <t>6</t>
        </is>
      </c>
      <c r="B7" s="13" t="inlineStr">
        <is>
          <t>Final revision (hard → easy order)</t>
        </is>
      </c>
      <c r="C7" s="13" t="inlineStr">
        <is>
          <t>DP → Graphs → Trees → BS → rest + reproduce all HLD/LLD + behavioral</t>
        </is>
      </c>
      <c r="D7" s="13" t="inlineStr">
        <is>
          <t>2-3 hrs</t>
        </is>
      </c>
      <c r="E7" s="13" t="inlineStr">
        <is>
          <t>No new topics; hard patterns first in revision</t>
        </is>
      </c>
      <c r="F7" s="13" t="inlineStr">
        <is>
          <t>Ready for Senior SDE interview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0" customWidth="1" min="3" max="3"/>
    <col width="60" customWidth="1" min="4" max="4"/>
    <col width="14" customWidth="1" min="5" max="5"/>
    <col width="14" customWidth="1" min="6" max="6"/>
    <col width="30" customWidth="1" min="7" max="7"/>
  </cols>
  <sheetData>
    <row r="1" ht="30" customHeight="1">
      <c r="A1" s="20" t="inlineStr">
        <is>
          <t>Priority</t>
        </is>
      </c>
      <c r="B1" s="20" t="inlineStr">
        <is>
          <t>Topic</t>
        </is>
      </c>
      <c r="C1" s="20" t="inlineStr">
        <is>
          <t>Key Concepts to Know</t>
        </is>
      </c>
      <c r="D1" s="20" t="inlineStr">
        <is>
          <t>Common Interview Questions</t>
        </is>
      </c>
      <c r="E1" s="20" t="inlineStr">
        <is>
          <t>Status</t>
        </is>
      </c>
      <c r="F1" s="20" t="inlineStr">
        <is>
          <t>Confidence 1-5</t>
        </is>
      </c>
      <c r="G1" s="20" t="inlineStr">
        <is>
          <t>Notes</t>
        </is>
      </c>
    </row>
    <row r="2" ht="60" customHeight="1">
      <c r="A2" s="18" t="inlineStr">
        <is>
          <t>CRITICAL</t>
        </is>
      </c>
      <c r="B2" s="18" t="inlineStr">
        <is>
          <t>ML Fundamentals</t>
        </is>
      </c>
      <c r="C2" s="18" t="inlineStr">
        <is>
          <t>Bias-variance tradeoff, overfitting, underfitting, regularization (L1/L2), cross-validation, train/val/test split</t>
        </is>
      </c>
      <c r="D2" s="18" t="inlineStr">
        <is>
          <t>Why is your model overfitting? How do you fix it? Explain bias-variance tradeoff.</t>
        </is>
      </c>
      <c r="E2" s="18" t="inlineStr"/>
      <c r="F2" s="18" t="inlineStr"/>
      <c r="G2" s="18" t="inlineStr"/>
    </row>
    <row r="3" ht="60" customHeight="1">
      <c r="A3" s="18" t="inlineStr">
        <is>
          <t>CRITICAL</t>
        </is>
      </c>
      <c r="B3" s="18" t="inlineStr">
        <is>
          <t>Supervised Learning</t>
        </is>
      </c>
      <c r="C3" s="18" t="inlineStr">
        <is>
          <t>Linear regression, logistic regression, decision trees, random forests, gradient boosting (XGBoost, LightGBM), SVM</t>
        </is>
      </c>
      <c r="D3" s="18" t="inlineStr">
        <is>
          <t>When would you use random forest vs gradient boosting? Explain how a decision tree splits.</t>
        </is>
      </c>
      <c r="E3" s="18" t="inlineStr"/>
      <c r="F3" s="18" t="inlineStr"/>
      <c r="G3" s="18" t="inlineStr"/>
    </row>
    <row r="4" ht="60" customHeight="1">
      <c r="A4" s="18" t="inlineStr">
        <is>
          <t>CRITICAL</t>
        </is>
      </c>
      <c r="B4" s="18" t="inlineStr">
        <is>
          <t>Model Evaluation Metrics</t>
        </is>
      </c>
      <c r="C4" s="18" t="inlineStr">
        <is>
          <t>Precision, recall, F1, AUC-ROC, confusion matrix, log loss, MSE/MAE, R-squared</t>
        </is>
      </c>
      <c r="D4" s="18" t="inlineStr">
        <is>
          <t>Your model has 99% accuracy but fails in production. Why? When to optimize for recall vs precision?</t>
        </is>
      </c>
      <c r="E4" s="18" t="inlineStr"/>
      <c r="F4" s="18" t="inlineStr"/>
      <c r="G4" s="18" t="inlineStr"/>
    </row>
    <row r="5" ht="60" customHeight="1">
      <c r="A5" s="18" t="inlineStr">
        <is>
          <t>CRITICAL</t>
        </is>
      </c>
      <c r="B5" s="18" t="inlineStr">
        <is>
          <t>Deep Learning Basics</t>
        </is>
      </c>
      <c r="C5" s="18" t="inlineStr">
        <is>
          <t>Neural network architecture, backpropagation, activation functions (ReLU, sigmoid, softmax), optimizers (SGD, Adam), batch normalization, dropout</t>
        </is>
      </c>
      <c r="D5" s="18" t="inlineStr">
        <is>
          <t>Walk through backpropagation. Why ReLU over sigmoid? What does batch norm do?</t>
        </is>
      </c>
      <c r="E5" s="18" t="inlineStr"/>
      <c r="F5" s="18" t="inlineStr"/>
      <c r="G5" s="18" t="inlineStr"/>
    </row>
    <row r="6" ht="60" customHeight="1">
      <c r="A6" s="18" t="inlineStr">
        <is>
          <t>CRITICAL</t>
        </is>
      </c>
      <c r="B6" s="18" t="inlineStr">
        <is>
          <t>Transformers &amp; Attention</t>
        </is>
      </c>
      <c r="C6" s="18" t="inlineStr">
        <is>
          <t>Self-attention mechanism, multi-head attention, positional encoding, encoder-decoder architecture, BERT vs GPT</t>
        </is>
      </c>
      <c r="D6" s="18" t="inlineStr">
        <is>
          <t>Explain self-attention. Why do transformers outperform RNNs? What is positional encoding for?</t>
        </is>
      </c>
      <c r="E6" s="18" t="inlineStr"/>
      <c r="F6" s="18" t="inlineStr"/>
      <c r="G6" s="18" t="inlineStr"/>
    </row>
    <row r="7" ht="60" customHeight="1">
      <c r="A7" s="18" t="inlineStr">
        <is>
          <t>CRITICAL</t>
        </is>
      </c>
      <c r="B7" s="18" t="inlineStr">
        <is>
          <t>LLMs &amp; GenAI</t>
        </is>
      </c>
      <c r="C7" s="18" t="inlineStr">
        <is>
          <t>GPT architecture, tokenization (BPE), temperature/top-p, prompt engineering, fine-tuning (LoRA, QLoRA), RLHF, hallucination, context window</t>
        </is>
      </c>
      <c r="D7" s="18" t="inlineStr">
        <is>
          <t>How does GPT generate text? What causes hallucination? How would you reduce it? Explain RLHF.</t>
        </is>
      </c>
      <c r="E7" s="18" t="inlineStr"/>
      <c r="F7" s="18" t="inlineStr"/>
      <c r="G7" s="18" t="inlineStr"/>
    </row>
    <row r="8" ht="60" customHeight="1">
      <c r="A8" s="18" t="inlineStr">
        <is>
          <t>CRITICAL</t>
        </is>
      </c>
      <c r="B8" s="18" t="inlineStr">
        <is>
          <t>RAG (Retrieval Augmented Generation)</t>
        </is>
      </c>
      <c r="C8" s="18" t="inlineStr">
        <is>
          <t>Embedding models, vector databases, chunking strategies, retrieval pipeline, re-ranking, hybrid search, evaluation (faithfulness, relevance)</t>
        </is>
      </c>
      <c r="D8" s="18" t="inlineStr">
        <is>
          <t>Design a RAG system. How do you evaluate retrieval quality? When RAG vs fine-tuning?</t>
        </is>
      </c>
      <c r="E8" s="18" t="inlineStr"/>
      <c r="F8" s="18" t="inlineStr"/>
      <c r="G8" s="18" t="inlineStr"/>
    </row>
    <row r="9" ht="60" customHeight="1">
      <c r="A9" s="18" t="inlineStr">
        <is>
          <t>CRITICAL</t>
        </is>
      </c>
      <c r="B9" s="18" t="inlineStr">
        <is>
          <t>Feature Engineering</t>
        </is>
      </c>
      <c r="C9" s="18" t="inlineStr">
        <is>
          <t>Feature selection, scaling (standard/minmax), encoding (one-hot, target, label), handling missing values, feature importance, feature stores</t>
        </is>
      </c>
      <c r="D9" s="18" t="inlineStr">
        <is>
          <t>How do you handle categorical features with 10K categories? How do you detect important features?</t>
        </is>
      </c>
      <c r="E9" s="18" t="inlineStr"/>
      <c r="F9" s="18" t="inlineStr"/>
      <c r="G9" s="18" t="inlineStr"/>
    </row>
    <row r="10" ht="60" customHeight="1">
      <c r="A10" s="17" t="inlineStr">
        <is>
          <t>HIGH</t>
        </is>
      </c>
      <c r="B10" s="17" t="inlineStr">
        <is>
          <t>ML System Design</t>
        </is>
      </c>
      <c r="C10" s="17" t="inlineStr">
        <is>
          <t>Model serving (batch vs real-time), A/B testing, feature stores, model monitoring, data pipelines, latency vs throughput</t>
        </is>
      </c>
      <c r="D10" s="17" t="inlineStr">
        <is>
          <t>Design a recommendation system. How do you serve a model at 10K QPS? How do you detect model drift?</t>
        </is>
      </c>
      <c r="E10" s="17" t="inlineStr"/>
      <c r="F10" s="17" t="inlineStr"/>
      <c r="G10" s="17" t="inlineStr"/>
    </row>
    <row r="11" ht="60" customHeight="1">
      <c r="A11" s="17" t="inlineStr">
        <is>
          <t>HIGH</t>
        </is>
      </c>
      <c r="B11" s="17" t="inlineStr">
        <is>
          <t>Embeddings &amp; Vector Search</t>
        </is>
      </c>
      <c r="C11" s="17" t="inlineStr">
        <is>
          <t>Word2Vec, sentence embeddings, cosine similarity, ANN (HNSW, IVF), vector databases (Pinecone, Weaviate, pgvector), dimensionality</t>
        </is>
      </c>
      <c r="D11" s="17" t="inlineStr">
        <is>
          <t>How does cosine similarity work? How do you choose embedding dimension? ANN vs exact search tradeoffs?</t>
        </is>
      </c>
      <c r="E11" s="17" t="inlineStr"/>
      <c r="F11" s="17" t="inlineStr"/>
      <c r="G11" s="17" t="inlineStr"/>
    </row>
    <row r="12" ht="60" customHeight="1">
      <c r="A12" s="17" t="inlineStr">
        <is>
          <t>HIGH</t>
        </is>
      </c>
      <c r="B12" s="17" t="inlineStr">
        <is>
          <t>NLP Fundamentals</t>
        </is>
      </c>
      <c r="C12" s="17" t="inlineStr">
        <is>
          <t>Tokenization, TF-IDF, word embeddings, named entity recognition, text classification, sentiment analysis, sequence labeling</t>
        </is>
      </c>
      <c r="D12" s="17" t="inlineStr">
        <is>
          <t>How would you build a text classifier? What is the difference between TF-IDF and embeddings?</t>
        </is>
      </c>
      <c r="E12" s="17" t="inlineStr"/>
      <c r="F12" s="17" t="inlineStr"/>
      <c r="G12" s="17" t="inlineStr"/>
    </row>
    <row r="13" ht="60" customHeight="1">
      <c r="A13" s="17" t="inlineStr">
        <is>
          <t>HIGH</t>
        </is>
      </c>
      <c r="B13" s="17" t="inlineStr">
        <is>
          <t>MLOps &amp; Production ML</t>
        </is>
      </c>
      <c r="C13" s="17" t="inlineStr">
        <is>
          <t>CI/CD for ML, model versioning, experiment tracking, drift detection, retraining pipelines, monitoring (data drift, concept drift), shadow deployment</t>
        </is>
      </c>
      <c r="D13" s="17" t="inlineStr">
        <is>
          <t>How do you know when to retrain? What metrics do you monitor in production? How do you rollback a bad model?</t>
        </is>
      </c>
      <c r="E13" s="17" t="inlineStr"/>
      <c r="F13" s="17" t="inlineStr"/>
      <c r="G13" s="17" t="inlineStr"/>
    </row>
    <row r="14" ht="60" customHeight="1">
      <c r="A14" s="17" t="inlineStr">
        <is>
          <t>HIGH</t>
        </is>
      </c>
      <c r="B14" s="17" t="inlineStr">
        <is>
          <t>Recommendation Systems</t>
        </is>
      </c>
      <c r="C14" s="17" t="inlineStr">
        <is>
          <t>Collaborative filtering, content-based filtering, matrix factorization, two-tower models, cold start problem, implicit vs explicit feedback</t>
        </is>
      </c>
      <c r="D14" s="17" t="inlineStr">
        <is>
          <t>Design a product recommendation system. How do you handle cold start? How do you evaluate recommendations?</t>
        </is>
      </c>
      <c r="E14" s="17" t="inlineStr"/>
      <c r="F14" s="17" t="inlineStr"/>
      <c r="G14" s="17" t="inlineStr"/>
    </row>
    <row r="15" ht="60" customHeight="1">
      <c r="A15" s="17" t="inlineStr">
        <is>
          <t>HIGH</t>
        </is>
      </c>
      <c r="B15" s="17" t="inlineStr">
        <is>
          <t>Loss Functions &amp; Optimization</t>
        </is>
      </c>
      <c r="C15" s="17" t="inlineStr">
        <is>
          <t>Cross-entropy, MSE, contrastive loss, triplet loss, learning rate scheduling, gradient clipping, vanishing/exploding gradients</t>
        </is>
      </c>
      <c r="D15" s="17" t="inlineStr">
        <is>
          <t>Why cross-entropy for classification? How do you handle vanishing gradients? What is learning rate warmup?</t>
        </is>
      </c>
      <c r="E15" s="17" t="inlineStr"/>
      <c r="F15" s="17" t="inlineStr"/>
      <c r="G15" s="17" t="inlineStr"/>
    </row>
    <row r="16" ht="60" customHeight="1">
      <c r="A16" s="17" t="inlineStr">
        <is>
          <t>HIGH</t>
        </is>
      </c>
      <c r="B16" s="17" t="inlineStr">
        <is>
          <t>Data Imbalance &amp; Sampling</t>
        </is>
      </c>
      <c r="C16" s="17" t="inlineStr">
        <is>
          <t>Class imbalance strategies (SMOTE, class weights, oversampling, undersampling), stratified sampling, data augmentation</t>
        </is>
      </c>
      <c r="D16" s="17" t="inlineStr">
        <is>
          <t>Your dataset is 99% negative. How do you train? What metric do you use?</t>
        </is>
      </c>
      <c r="E16" s="17" t="inlineStr"/>
      <c r="F16" s="17" t="inlineStr"/>
      <c r="G16" s="17" t="inlineStr"/>
    </row>
    <row r="17" ht="60" customHeight="1">
      <c r="A17" s="15" t="inlineStr">
        <is>
          <t>MEDIUM</t>
        </is>
      </c>
      <c r="B17" s="15" t="inlineStr">
        <is>
          <t>CNNs (Computer Vision)</t>
        </is>
      </c>
      <c r="C17" s="15" t="inlineStr">
        <is>
          <t>Convolution operation, pooling, stride/padding, ResNet, transfer learning, data augmentation for images</t>
        </is>
      </c>
      <c r="D17" s="15" t="inlineStr">
        <is>
          <t>Explain convolution. Why skip connections in ResNet? When to use transfer learning?</t>
        </is>
      </c>
      <c r="E17" s="15" t="inlineStr"/>
      <c r="F17" s="15" t="inlineStr"/>
      <c r="G17" s="15" t="inlineStr"/>
    </row>
    <row r="18" ht="60" customHeight="1">
      <c r="A18" s="15" t="inlineStr">
        <is>
          <t>MEDIUM</t>
        </is>
      </c>
      <c r="B18" s="15" t="inlineStr">
        <is>
          <t>Clustering &amp; Unsupervised</t>
        </is>
      </c>
      <c r="C18" s="15" t="inlineStr">
        <is>
          <t>K-means, DBSCAN, hierarchical clustering, PCA, t-SNE, UMAP, silhouette score, elbow method</t>
        </is>
      </c>
      <c r="D18" s="15" t="inlineStr">
        <is>
          <t>How do you choose K? When K-means vs DBSCAN? How does PCA work?</t>
        </is>
      </c>
      <c r="E18" s="15" t="inlineStr"/>
      <c r="F18" s="15" t="inlineStr"/>
      <c r="G18" s="15" t="inlineStr"/>
    </row>
    <row r="19" ht="60" customHeight="1">
      <c r="A19" s="15" t="inlineStr">
        <is>
          <t>MEDIUM</t>
        </is>
      </c>
      <c r="B19" s="15" t="inlineStr">
        <is>
          <t>AI Agents &amp; Tool Use</t>
        </is>
      </c>
      <c r="C19" s="15" t="inlineStr">
        <is>
          <t>ReAct pattern, function calling, planning (chain-of-thought), memory, multi-agent systems, guardrails, evaluation</t>
        </is>
      </c>
      <c r="D19" s="15" t="inlineStr">
        <is>
          <t>Design an AI agent. How do you handle agent loops? How do you evaluate agent performance?</t>
        </is>
      </c>
      <c r="E19" s="15" t="inlineStr"/>
      <c r="F19" s="15" t="inlineStr"/>
      <c r="G19" s="15" t="inlineStr"/>
    </row>
    <row r="20" ht="60" customHeight="1">
      <c r="A20" s="15" t="inlineStr">
        <is>
          <t>MEDIUM</t>
        </is>
      </c>
      <c r="B20" s="15" t="inlineStr">
        <is>
          <t>Fine-tuning &amp; Adaptation</t>
        </is>
      </c>
      <c r="C20" s="15" t="inlineStr">
        <is>
          <t>Full fine-tuning, LoRA, QLoRA, adapter layers, instruction tuning, PEFT, when to fine-tune vs prompt</t>
        </is>
      </c>
      <c r="D20" s="15" t="inlineStr">
        <is>
          <t>When would you fine-tune vs use RAG? How does LoRA work? What data do you need?</t>
        </is>
      </c>
      <c r="E20" s="15" t="inlineStr"/>
      <c r="F20" s="15" t="inlineStr"/>
      <c r="G20" s="15" t="inlineStr"/>
    </row>
    <row r="21" ht="60" customHeight="1">
      <c r="A21" s="15" t="inlineStr">
        <is>
          <t>MEDIUM</t>
        </is>
      </c>
      <c r="B21" s="15" t="inlineStr">
        <is>
          <t>Distributed Training</t>
        </is>
      </c>
      <c r="C21" s="15" t="inlineStr">
        <is>
          <t>Data parallelism, model parallelism, gradient accumulation, mixed precision (FP16/BF16), DeepSpeed, FSDP</t>
        </is>
      </c>
      <c r="D21" s="15" t="inlineStr">
        <is>
          <t>How do you train a model that does not fit in one GPU? What is gradient accumulation?</t>
        </is>
      </c>
      <c r="E21" s="15" t="inlineStr"/>
      <c r="F21" s="15" t="inlineStr"/>
      <c r="G21" s="15" t="inlineStr"/>
    </row>
    <row r="22" ht="60" customHeight="1">
      <c r="A22" s="15" t="inlineStr">
        <is>
          <t>MEDIUM</t>
        </is>
      </c>
      <c r="B22" s="15" t="inlineStr">
        <is>
          <t>Time Series</t>
        </is>
      </c>
      <c r="C22" s="15" t="inlineStr">
        <is>
          <t>Stationarity, ARIMA, seasonality, lag features, Prophet, LSTM for sequences, forecasting evaluation</t>
        </is>
      </c>
      <c r="D22" s="15" t="inlineStr">
        <is>
          <t>How do you handle seasonality? How do you evaluate a forecast model?</t>
        </is>
      </c>
      <c r="E22" s="15" t="inlineStr"/>
      <c r="F22" s="15" t="inlineStr"/>
      <c r="G22" s="15" t="inlineStr"/>
    </row>
    <row r="23" ht="60" customHeight="1">
      <c r="A23" s="5" t="inlineStr">
        <is>
          <t>GOOD TO KNOW</t>
        </is>
      </c>
      <c r="B23" s="5" t="inlineStr">
        <is>
          <t>Reinforcement Learning Basics</t>
        </is>
      </c>
      <c r="C23" s="5" t="inlineStr">
        <is>
          <t>Reward, policy, value function, Q-learning, exploration vs exploitation, PPO (used in RLHF)</t>
        </is>
      </c>
      <c r="D23" s="5" t="inlineStr">
        <is>
          <t>Explain exploration vs exploitation. How does RLHF use RL? What is a reward model?</t>
        </is>
      </c>
      <c r="E23" s="5" t="inlineStr"/>
      <c r="F23" s="5" t="inlineStr"/>
      <c r="G23" s="5" t="inlineStr"/>
    </row>
    <row r="24" ht="60" customHeight="1">
      <c r="A24" s="5" t="inlineStr">
        <is>
          <t>GOOD TO KNOW</t>
        </is>
      </c>
      <c r="B24" s="5" t="inlineStr">
        <is>
          <t>Graph Neural Networks</t>
        </is>
      </c>
      <c r="C24" s="5" t="inlineStr">
        <is>
          <t>Node embeddings, message passing, GCN, knowledge graphs, link prediction</t>
        </is>
      </c>
      <c r="D24" s="5" t="inlineStr">
        <is>
          <t>When would you use a GNN? How does message passing work?</t>
        </is>
      </c>
      <c r="E24" s="5" t="inlineStr"/>
      <c r="F24" s="5" t="inlineStr"/>
      <c r="G24" s="5" t="inlineStr"/>
    </row>
    <row r="25" ht="60" customHeight="1">
      <c r="A25" s="5" t="inlineStr">
        <is>
          <t>GOOD TO KNOW</t>
        </is>
      </c>
      <c r="B25" s="5" t="inlineStr">
        <is>
          <t>Probabilistic ML</t>
        </is>
      </c>
      <c r="C25" s="5" t="inlineStr">
        <is>
          <t>Bayes theorem, naive Bayes, Bayesian inference, prior/posterior, MAP vs MLE</t>
        </is>
      </c>
      <c r="D25" s="5" t="inlineStr">
        <is>
          <t>Explain Bayes theorem with an example. When naive Bayes vs logistic regression?</t>
        </is>
      </c>
      <c r="E25" s="5" t="inlineStr"/>
      <c r="F25" s="5" t="inlineStr"/>
      <c r="G25" s="5" t="inlineStr"/>
    </row>
    <row r="26" ht="60" customHeight="1">
      <c r="A26" s="5" t="inlineStr">
        <is>
          <t>GOOD TO KNOW</t>
        </is>
      </c>
      <c r="B26" s="5" t="inlineStr">
        <is>
          <t>Ethics &amp; Safety</t>
        </is>
      </c>
      <c r="C26" s="5" t="inlineStr">
        <is>
          <t>Bias in models, fairness metrics, responsible AI, alignment, red teaming, content filtering</t>
        </is>
      </c>
      <c r="D26" s="5" t="inlineStr">
        <is>
          <t>How do you detect bias? What guardrails would you add to an LLM product?</t>
        </is>
      </c>
      <c r="E26" s="5" t="inlineStr"/>
      <c r="F26" s="5" t="inlineStr"/>
      <c r="G26" s="5" t="inlineStr"/>
    </row>
  </sheetData>
  <autoFilter ref="A1:G26"/>
  <dataValidations count="2">
    <dataValidation sqref="E2:E100" showDropDown="0" showInputMessage="0" showErrorMessage="0" allowBlank="1" type="list">
      <formula1>"Not started,In progress,Revised,Confident"</formula1>
    </dataValidation>
    <dataValidation sqref="F2:F10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62" customWidth="1" min="3" max="3"/>
    <col width="62" customWidth="1" min="4" max="4"/>
    <col width="14" customWidth="1" min="5" max="5"/>
    <col width="14" customWidth="1" min="6" max="6"/>
    <col width="30" customWidth="1" min="7" max="7"/>
  </cols>
  <sheetData>
    <row r="1" ht="30" customHeight="1">
      <c r="A1" s="20" t="inlineStr">
        <is>
          <t>Priority</t>
        </is>
      </c>
      <c r="B1" s="20" t="inlineStr">
        <is>
          <t>Topic</t>
        </is>
      </c>
      <c r="C1" s="20" t="inlineStr">
        <is>
          <t>Key Concepts to Know</t>
        </is>
      </c>
      <c r="D1" s="20" t="inlineStr">
        <is>
          <t>Common Interview Questions</t>
        </is>
      </c>
      <c r="E1" s="20" t="inlineStr">
        <is>
          <t>Status</t>
        </is>
      </c>
      <c r="F1" s="20" t="inlineStr">
        <is>
          <t>Confidence 1-5</t>
        </is>
      </c>
      <c r="G1" s="20" t="inlineStr">
        <is>
          <t>Notes</t>
        </is>
      </c>
    </row>
    <row r="2" ht="65" customHeight="1">
      <c r="A2" s="18" t="inlineStr">
        <is>
          <t>CRITICAL</t>
        </is>
      </c>
      <c r="B2" s="18" t="inlineStr">
        <is>
          <t>SQL (Advanced)</t>
        </is>
      </c>
      <c r="C2" s="18" t="inlineStr">
        <is>
          <t>Window functions (ROW_NUMBER, RANK, LAG, LEAD), CTEs, recursive queries, joins (all types), subqueries, query optimization, execution plans, indexing strategies</t>
        </is>
      </c>
      <c r="D2" s="18" t="inlineStr">
        <is>
          <t>Write a query for running totals. Find duplicates. Optimize a slow query. Explain execution plan.</t>
        </is>
      </c>
      <c r="E2" s="18" t="inlineStr"/>
      <c r="F2" s="18" t="inlineStr"/>
      <c r="G2" s="18" t="inlineStr"/>
    </row>
    <row r="3" ht="65" customHeight="1">
      <c r="A3" s="18" t="inlineStr">
        <is>
          <t>CRITICAL</t>
        </is>
      </c>
      <c r="B3" s="18" t="inlineStr">
        <is>
          <t>Data Modeling</t>
        </is>
      </c>
      <c r="C3" s="18" t="inlineStr">
        <is>
          <t>Star schema, snowflake schema, normalized vs denormalized, slowly changing dimensions (SCD types), fact vs dimension tables, data vault, wide tables</t>
        </is>
      </c>
      <c r="D3" s="18" t="inlineStr">
        <is>
          <t>Design a data model for an e-commerce system. When to denormalize? Explain SCD Type 2.</t>
        </is>
      </c>
      <c r="E3" s="18" t="inlineStr"/>
      <c r="F3" s="18" t="inlineStr"/>
      <c r="G3" s="18" t="inlineStr"/>
    </row>
    <row r="4" ht="65" customHeight="1">
      <c r="A4" s="18" t="inlineStr">
        <is>
          <t>CRITICAL</t>
        </is>
      </c>
      <c r="B4" s="18" t="inlineStr">
        <is>
          <t>ETL / ELT Pipelines</t>
        </is>
      </c>
      <c r="C4" s="18" t="inlineStr">
        <is>
          <t>Extract-Transform-Load vs ELT, batch vs streaming, idempotency, backfilling, schema evolution, data quality checks, pipeline orchestration</t>
        </is>
      </c>
      <c r="D4" s="18" t="inlineStr">
        <is>
          <t>Design a pipeline for daily sales aggregation. How do you handle late-arriving data? How do you ensure idempotency?</t>
        </is>
      </c>
      <c r="E4" s="18" t="inlineStr"/>
      <c r="F4" s="18" t="inlineStr"/>
      <c r="G4" s="18" t="inlineStr"/>
    </row>
    <row r="5" ht="65" customHeight="1">
      <c r="A5" s="18" t="inlineStr">
        <is>
          <t>CRITICAL</t>
        </is>
      </c>
      <c r="B5" s="18" t="inlineStr">
        <is>
          <t>Apache Spark</t>
        </is>
      </c>
      <c r="C5" s="18" t="inlineStr">
        <is>
          <t>RDDs, DataFrames, transformations vs actions, lazy evaluation, partitioning, shuffles, broadcast joins, caching, Spark SQL, UDFs, memory management</t>
        </is>
      </c>
      <c r="D5" s="18" t="inlineStr">
        <is>
          <t>Why is your Spark job slow? Explain shuffle. When to broadcast? How do you handle data skew?</t>
        </is>
      </c>
      <c r="E5" s="18" t="inlineStr"/>
      <c r="F5" s="18" t="inlineStr"/>
      <c r="G5" s="18" t="inlineStr"/>
    </row>
    <row r="6" ht="65" customHeight="1">
      <c r="A6" s="18" t="inlineStr">
        <is>
          <t>CRITICAL</t>
        </is>
      </c>
      <c r="B6" s="18" t="inlineStr">
        <is>
          <t>Data Warehousing</t>
        </is>
      </c>
      <c r="C6" s="18" t="inlineStr">
        <is>
          <t>OLAP vs OLTP, columnar storage, partitioning, clustering, materialized views, query engines (BigQuery, Redshift, Snowflake, Databricks)</t>
        </is>
      </c>
      <c r="D6" s="18" t="inlineStr">
        <is>
          <t>OLAP vs OLTP differences. Why columnar for analytics? How does partitioning improve performance?</t>
        </is>
      </c>
      <c r="E6" s="18" t="inlineStr"/>
      <c r="F6" s="18" t="inlineStr"/>
      <c r="G6" s="18" t="inlineStr"/>
    </row>
    <row r="7" ht="65" customHeight="1">
      <c r="A7" s="18" t="inlineStr">
        <is>
          <t>CRITICAL</t>
        </is>
      </c>
      <c r="B7" s="18" t="inlineStr">
        <is>
          <t>Batch vs Stream Processing</t>
        </is>
      </c>
      <c r="C7" s="18" t="inlineStr">
        <is>
          <t>Batch (Spark, Airflow), streaming (Kafka, Flink, Spark Streaming), exactly-once vs at-least-once, windowing (tumbling, sliding, session), watermarks, late data</t>
        </is>
      </c>
      <c r="D7" s="18" t="inlineStr">
        <is>
          <t>When batch vs streaming? Explain exactly-once semantics. How do you handle out-of-order events?</t>
        </is>
      </c>
      <c r="E7" s="18" t="inlineStr"/>
      <c r="F7" s="18" t="inlineStr"/>
      <c r="G7" s="18" t="inlineStr"/>
    </row>
    <row r="8" ht="65" customHeight="1">
      <c r="A8" s="17" t="inlineStr">
        <is>
          <t>HIGH</t>
        </is>
      </c>
      <c r="B8" s="17" t="inlineStr">
        <is>
          <t>Apache Kafka</t>
        </is>
      </c>
      <c r="C8" s="17" t="inlineStr">
        <is>
          <t>Topics, partitions, consumer groups, offsets, producers, replication, retention, compaction, Schema Registry, Kafka Connect, exactly-once delivery</t>
        </is>
      </c>
      <c r="D8" s="17" t="inlineStr">
        <is>
          <t>Design event streaming for order processing. How does Kafka guarantee ordering? What happens when a consumer falls behind?</t>
        </is>
      </c>
      <c r="E8" s="17" t="inlineStr"/>
      <c r="F8" s="17" t="inlineStr"/>
      <c r="G8" s="17" t="inlineStr"/>
    </row>
    <row r="9" ht="65" customHeight="1">
      <c r="A9" s="17" t="inlineStr">
        <is>
          <t>HIGH</t>
        </is>
      </c>
      <c r="B9" s="17" t="inlineStr">
        <is>
          <t>Orchestration (Airflow)</t>
        </is>
      </c>
      <c r="C9" s="17" t="inlineStr">
        <is>
          <t>DAGs, tasks, operators, sensors, XComs, scheduling, retries, backfill, task dependencies, dynamic DAGs, Airflow vs Dagster vs Prefect</t>
        </is>
      </c>
      <c r="D9" s="17" t="inlineStr">
        <is>
          <t>Design a DAG for daily ETL. How do you handle task failures? How do you backfill 30 days?</t>
        </is>
      </c>
      <c r="E9" s="17" t="inlineStr"/>
      <c r="F9" s="17" t="inlineStr"/>
      <c r="G9" s="17" t="inlineStr"/>
    </row>
    <row r="10" ht="65" customHeight="1">
      <c r="A10" s="17" t="inlineStr">
        <is>
          <t>HIGH</t>
        </is>
      </c>
      <c r="B10" s="17" t="inlineStr">
        <is>
          <t>Data Quality &amp; Testing</t>
        </is>
      </c>
      <c r="C10" s="17" t="inlineStr">
        <is>
          <t>Data validation (Great Expectations, dbt tests), schema checks, freshness checks, null/duplicate detection, data contracts, observability, lineage</t>
        </is>
      </c>
      <c r="D10" s="17" t="inlineStr">
        <is>
          <t>How do you catch bad data before it reaches dashboards? What data quality checks do you run?</t>
        </is>
      </c>
      <c r="E10" s="17" t="inlineStr"/>
      <c r="F10" s="17" t="inlineStr"/>
      <c r="G10" s="17" t="inlineStr"/>
    </row>
    <row r="11" ht="65" customHeight="1">
      <c r="A11" s="17" t="inlineStr">
        <is>
          <t>HIGH</t>
        </is>
      </c>
      <c r="B11" s="17" t="inlineStr">
        <is>
          <t>Distributed Systems for DE</t>
        </is>
      </c>
      <c r="C11" s="17" t="inlineStr">
        <is>
          <t>CAP theorem, eventual consistency, partitioning strategies, replication, distributed file systems (HDFS, S3), data locality</t>
        </is>
      </c>
      <c r="D11" s="17" t="inlineStr">
        <is>
          <t>Explain CAP theorem for data systems. How does HDFS store data? Why is data locality important for Spark?</t>
        </is>
      </c>
      <c r="E11" s="17" t="inlineStr"/>
      <c r="F11" s="17" t="inlineStr"/>
      <c r="G11" s="17" t="inlineStr"/>
    </row>
    <row r="12" ht="65" customHeight="1">
      <c r="A12" s="17" t="inlineStr">
        <is>
          <t>HIGH</t>
        </is>
      </c>
      <c r="B12" s="17" t="inlineStr">
        <is>
          <t>dbt &amp; Transformation Layer</t>
        </is>
      </c>
      <c r="C12" s="17" t="inlineStr">
        <is>
          <t>Models, materializations (table, view, incremental), tests, documentation, sources, refs, Jinja macros, dbt Cloud vs Core</t>
        </is>
      </c>
      <c r="D12" s="17" t="inlineStr">
        <is>
          <t>How does incremental materialization work? When table vs view? How do you test transformations?</t>
        </is>
      </c>
      <c r="E12" s="17" t="inlineStr"/>
      <c r="F12" s="17" t="inlineStr"/>
      <c r="G12" s="17" t="inlineStr"/>
    </row>
    <row r="13" ht="65" customHeight="1">
      <c r="A13" s="17" t="inlineStr">
        <is>
          <t>HIGH</t>
        </is>
      </c>
      <c r="B13" s="17" t="inlineStr">
        <is>
          <t>File Formats &amp; Storage</t>
        </is>
      </c>
      <c r="C13" s="17" t="inlineStr">
        <is>
          <t>Parquet, ORC, Avro, JSON, CSV tradeoffs, columnar vs row, compression (Snappy, Gzip, Zstd), partitioned storage, Delta Lake, Iceberg, Hudi</t>
        </is>
      </c>
      <c r="D13" s="17" t="inlineStr">
        <is>
          <t>Why Parquet over CSV? Explain columnar advantage. What is Delta Lake / Iceberg and why use it?</t>
        </is>
      </c>
      <c r="E13" s="17" t="inlineStr"/>
      <c r="F13" s="17" t="inlineStr"/>
      <c r="G13" s="17" t="inlineStr"/>
    </row>
    <row r="14" ht="65" customHeight="1">
      <c r="A14" s="17" t="inlineStr">
        <is>
          <t>HIGH</t>
        </is>
      </c>
      <c r="B14" s="17" t="inlineStr">
        <is>
          <t>Data Lake Architecture</t>
        </is>
      </c>
      <c r="C14" s="17" t="inlineStr">
        <is>
          <t>Raw/bronze, cleaned/silver, curated/gold layers, lakehouse architecture, metadata catalogs, schema-on-read vs schema-on-write</t>
        </is>
      </c>
      <c r="D14" s="17" t="inlineStr">
        <is>
          <t>Design a data lake for a company. Explain medallion architecture. How do you handle schema evolution?</t>
        </is>
      </c>
      <c r="E14" s="17" t="inlineStr"/>
      <c r="F14" s="17" t="inlineStr"/>
      <c r="G14" s="17" t="inlineStr"/>
    </row>
    <row r="15" ht="65" customHeight="1">
      <c r="A15" s="15" t="inlineStr">
        <is>
          <t>MEDIUM</t>
        </is>
      </c>
      <c r="B15" s="15" t="inlineStr">
        <is>
          <t>Python for Data Engineering</t>
        </is>
      </c>
      <c r="C15" s="15" t="inlineStr">
        <is>
          <t>Pandas, PySpark, file I/O, API ingestion, error handling, logging, testing (pytest), typing, generators for large data</t>
        </is>
      </c>
      <c r="D15" s="15" t="inlineStr">
        <is>
          <t>Write a script to ingest API data. How do you process a 50GB file in Python? When Pandas vs Spark?</t>
        </is>
      </c>
      <c r="E15" s="15" t="inlineStr"/>
      <c r="F15" s="15" t="inlineStr"/>
      <c r="G15" s="15" t="inlineStr"/>
    </row>
    <row r="16" ht="65" customHeight="1">
      <c r="A16" s="15" t="inlineStr">
        <is>
          <t>MEDIUM</t>
        </is>
      </c>
      <c r="B16" s="15" t="inlineStr">
        <is>
          <t>Cloud Data Services</t>
        </is>
      </c>
      <c r="C16" s="15" t="inlineStr">
        <is>
          <t>AWS (S3, Glue, Redshift, EMR, Kinesis), GCP (BigQuery, Dataflow, Pub/Sub, GCS), Azure (Synapse, Data Factory, ADLS), serverless vs managed</t>
        </is>
      </c>
      <c r="D16" s="15" t="inlineStr">
        <is>
          <t>Design a pipeline on AWS/GCP. When Glue vs EMR? How does BigQuery handle petabyte queries?</t>
        </is>
      </c>
      <c r="E16" s="15" t="inlineStr"/>
      <c r="F16" s="15" t="inlineStr"/>
      <c r="G16" s="15" t="inlineStr"/>
    </row>
    <row r="17" ht="65" customHeight="1">
      <c r="A17" s="15" t="inlineStr">
        <is>
          <t>MEDIUM</t>
        </is>
      </c>
      <c r="B17" s="15" t="inlineStr">
        <is>
          <t>CDC (Change Data Capture)</t>
        </is>
      </c>
      <c r="C17" s="15" t="inlineStr">
        <is>
          <t>Log-based CDC (Debezium), trigger-based, timestamp-based, CDC to data warehouse, handling deletes, event sourcing</t>
        </is>
      </c>
      <c r="D17" s="15" t="inlineStr">
        <is>
          <t>How do you capture database changes for analytics? Explain Debezium. How do you handle deletes in CDC?</t>
        </is>
      </c>
      <c r="E17" s="15" t="inlineStr"/>
      <c r="F17" s="15" t="inlineStr"/>
      <c r="G17" s="15" t="inlineStr"/>
    </row>
    <row r="18" ht="65" customHeight="1">
      <c r="A18" s="15" t="inlineStr">
        <is>
          <t>MEDIUM</t>
        </is>
      </c>
      <c r="B18" s="15" t="inlineStr">
        <is>
          <t>Data Governance &amp; Cataloging</t>
        </is>
      </c>
      <c r="C18" s="15" t="inlineStr">
        <is>
          <t>Metadata management, data lineage, access control, PII handling, GDPR/compliance, data catalogs (DataHub, Amundsen, Unity Catalog)</t>
        </is>
      </c>
      <c r="D18" s="15" t="inlineStr">
        <is>
          <t>How do you track where data comes from? How do you handle PII in your pipeline?</t>
        </is>
      </c>
      <c r="E18" s="15" t="inlineStr"/>
      <c r="F18" s="15" t="inlineStr"/>
      <c r="G18" s="15" t="inlineStr"/>
    </row>
    <row r="19" ht="65" customHeight="1">
      <c r="A19" s="15" t="inlineStr">
        <is>
          <t>MEDIUM</t>
        </is>
      </c>
      <c r="B19" s="15" t="inlineStr">
        <is>
          <t>Dimensional Modeling (Kimball)</t>
        </is>
      </c>
      <c r="C19" s="15" t="inlineStr">
        <is>
          <t>Conformed dimensions, degenerate dimensions, junk dimensions, bridge tables, aggregate fact tables, grain definition</t>
        </is>
      </c>
      <c r="D19" s="15" t="inlineStr">
        <is>
          <t>Define the grain for an orders fact table. How do you model many-to-many relationships?</t>
        </is>
      </c>
      <c r="E19" s="15" t="inlineStr"/>
      <c r="F19" s="15" t="inlineStr"/>
      <c r="G19" s="15" t="inlineStr"/>
    </row>
    <row r="20" ht="65" customHeight="1">
      <c r="A20" s="15" t="inlineStr">
        <is>
          <t>MEDIUM</t>
        </is>
      </c>
      <c r="B20" s="15" t="inlineStr">
        <is>
          <t>Performance Optimization</t>
        </is>
      </c>
      <c r="C20" s="15" t="inlineStr">
        <is>
          <t>Partition pruning, predicate pushdown, join strategies (sort-merge, hash, broadcast), caching, materialized views, query profiling</t>
        </is>
      </c>
      <c r="D20" s="15" t="inlineStr">
        <is>
          <t>Your pipeline takes 4 hours. How do you debug? What is predicate pushdown?</t>
        </is>
      </c>
      <c r="E20" s="15" t="inlineStr"/>
      <c r="F20" s="15" t="inlineStr"/>
      <c r="G20" s="15" t="inlineStr"/>
    </row>
    <row r="21" ht="65" customHeight="1">
      <c r="A21" s="5" t="inlineStr">
        <is>
          <t>GOOD TO KNOW</t>
        </is>
      </c>
      <c r="B21" s="5" t="inlineStr">
        <is>
          <t>Real-time Analytics</t>
        </is>
      </c>
      <c r="C21" s="5" t="inlineStr">
        <is>
          <t>OLAP cubes, Druid, ClickHouse, Pinot, pre-aggregation, approximate queries (HyperLogLog, Count-Min Sketch)</t>
        </is>
      </c>
      <c r="D21" s="5" t="inlineStr">
        <is>
          <t>Design real-time dashboard for clickstream. When ClickHouse vs BigQuery?</t>
        </is>
      </c>
      <c r="E21" s="5" t="inlineStr"/>
      <c r="F21" s="5" t="inlineStr"/>
      <c r="G21" s="5" t="inlineStr"/>
    </row>
    <row r="22" ht="65" customHeight="1">
      <c r="A22" s="5" t="inlineStr">
        <is>
          <t>GOOD TO KNOW</t>
        </is>
      </c>
      <c r="B22" s="5" t="inlineStr">
        <is>
          <t>Data Mesh</t>
        </is>
      </c>
      <c r="C22" s="5" t="inlineStr">
        <is>
          <t>Domain ownership, data as a product, self-serve platform, federated governance, domain-oriented decentralization</t>
        </is>
      </c>
      <c r="D22" s="5" t="inlineStr">
        <is>
          <t>Explain data mesh. When monolithic data team vs data mesh?</t>
        </is>
      </c>
      <c r="E22" s="5" t="inlineStr"/>
      <c r="F22" s="5" t="inlineStr"/>
      <c r="G22" s="5" t="inlineStr"/>
    </row>
    <row r="23" ht="65" customHeight="1">
      <c r="A23" s="5" t="inlineStr">
        <is>
          <t>GOOD TO KNOW</t>
        </is>
      </c>
      <c r="B23" s="5" t="inlineStr">
        <is>
          <t>Graph Data &amp; NoSQL</t>
        </is>
      </c>
      <c r="C23" s="5" t="inlineStr">
        <is>
          <t>Neo4j, document stores (MongoDB), key-value (Redis, DynamoDB), wide-column (Cassandra), when to use which</t>
        </is>
      </c>
      <c r="D23" s="5" t="inlineStr">
        <is>
          <t>When would you use a graph database? DynamoDB vs Cassandra for time-series?</t>
        </is>
      </c>
      <c r="E23" s="5" t="inlineStr"/>
      <c r="F23" s="5" t="inlineStr"/>
      <c r="G23" s="5" t="inlineStr"/>
    </row>
    <row r="24" ht="65" customHeight="1">
      <c r="A24" s="5" t="inlineStr">
        <is>
          <t>GOOD TO KNOW</t>
        </is>
      </c>
      <c r="B24" s="5" t="inlineStr">
        <is>
          <t>ML Pipelines for DE</t>
        </is>
      </c>
      <c r="C24" s="5" t="inlineStr">
        <is>
          <t>Feature stores, training data pipelines, model input/output schemas, feature freshness, offline vs online features</t>
        </is>
      </c>
      <c r="D24" s="5" t="inlineStr">
        <is>
          <t>Design a feature pipeline for a recommendation model. How do you ensure feature freshness?</t>
        </is>
      </c>
      <c r="E24" s="5" t="inlineStr"/>
      <c r="F24" s="5" t="inlineStr"/>
      <c r="G24" s="5" t="inlineStr"/>
    </row>
  </sheetData>
  <autoFilter ref="A1:G24"/>
  <dataValidations count="2">
    <dataValidation sqref="E2:E100" showDropDown="0" showInputMessage="0" showErrorMessage="0" allowBlank="1" type="list">
      <formula1>"Not started,In progress,Revised,Confident"</formula1>
    </dataValidation>
    <dataValidation sqref="F2:F10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22" customWidth="1" min="5" max="5"/>
    <col width="24" customWidth="1" min="6" max="6"/>
    <col width="34" customWidth="1" min="7" max="7"/>
    <col width="34" customWidth="1" min="8" max="8"/>
    <col width="34" customWidth="1" min="9" max="9"/>
    <col width="30" customWidth="1" min="10" max="10"/>
    <col width="12" customWidth="1" min="11" max="11"/>
    <col width="16" customWidth="1" min="12" max="12"/>
    <col width="18" customWidth="1" min="13" max="13"/>
    <col width="16" customWidth="1" min="14" max="14"/>
    <col width="34" customWidth="1" min="15" max="15"/>
  </cols>
  <sheetData>
    <row r="1" ht="34" customHeight="1">
      <c r="A1" s="6" t="inlineStr">
        <is>
          <t>Date</t>
        </is>
      </c>
      <c r="B1" s="6" t="inlineStr">
        <is>
          <t>Problem</t>
        </is>
      </c>
      <c r="C1" s="6" t="inlineStr">
        <is>
          <t>Platform</t>
        </is>
      </c>
      <c r="D1" s="6" t="inlineStr">
        <is>
          <t>Difficulty</t>
        </is>
      </c>
      <c r="E1" s="6" t="inlineStr">
        <is>
          <t>Pattern</t>
        </is>
      </c>
      <c r="F1" s="6" t="inlineStr">
        <is>
          <t>Mistake Type</t>
        </is>
      </c>
      <c r="G1" s="6" t="inlineStr">
        <is>
          <t>Root Cause</t>
        </is>
      </c>
      <c r="H1" s="6" t="inlineStr">
        <is>
          <t>Wrong Approach</t>
        </is>
      </c>
      <c r="I1" s="6" t="inlineStr">
        <is>
          <t>Correct Insight</t>
        </is>
      </c>
      <c r="J1" s="6" t="inlineStr">
        <is>
          <t>Edge Case Missed</t>
        </is>
      </c>
      <c r="K1" s="6" t="inlineStr">
        <is>
          <t>Time Lost Min</t>
        </is>
      </c>
      <c r="L1" s="6" t="inlineStr">
        <is>
          <t>Re-solve Date</t>
        </is>
      </c>
      <c r="M1" s="6" t="inlineStr">
        <is>
          <t>Re-solve Status</t>
        </is>
      </c>
      <c r="N1" s="6" t="inlineStr">
        <is>
          <t>Final Confidence 1-5</t>
        </is>
      </c>
      <c r="O1" s="6" t="inlineStr">
        <is>
          <t>Notes</t>
        </is>
      </c>
    </row>
    <row r="2" ht="45" customHeight="1"/>
  </sheetData>
  <autoFilter ref="A1:O2"/>
  <dataValidations count="5">
    <dataValidation sqref="D2:D500" showDropDown="0" showInputMessage="0" showErrorMessage="0" allowBlank="1" type="list">
      <formula1>"Easy,Medium,Hard"</formula1>
    </dataValidation>
    <dataValidation sqref="E2:E500" showDropDown="0" showInputMessage="0" showErrorMessage="0" allowBlank="1" type="list">
      <formula1>"Arrays/Hashing,Two Pointers,Sliding Window,Binary Search,Trees DFS/BFS,BST,Graphs BFS/DFS,Topological Sort,DP 1D,DP 2D,DP Knapsack,Heap/Priority Queue,Stack/Monotonic Stack,Intervals,Backtracking,Greedy,Linked List,Trie,Union Find,Prefix Sum,Bit Manipulation"</formula1>
    </dataValidation>
    <dataValidation sqref="F2:F500" showDropDown="0" showInputMessage="0" showErrorMessage="0" allowBlank="1" type="list">
      <formula1>"Pattern recognition,State/transition error,Edge case missed,Off-by-one,Implementation bug,Time complexity wrong,Did not optimize,Froze under pressure,Communication gap,Dry run failure,Wrong data structure,Base case error"</formula1>
    </dataValidation>
    <dataValidation sqref="M2:M500" showDropDown="0" showInputMessage="0" showErrorMessage="0" allowBlank="1" type="list">
      <formula1>"Pending,Solved with help,Solved without help,Needs repeat"</formula1>
    </dataValidation>
    <dataValidation sqref="N2:N50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42" customWidth="1" min="4" max="4"/>
    <col width="42" customWidth="1" min="5" max="5"/>
    <col width="34" customWidth="1" min="6" max="6"/>
    <col width="28" customWidth="1" min="7" max="7"/>
    <col width="32" customWidth="1" min="8" max="8"/>
    <col width="28" customWidth="1" min="9" max="9"/>
    <col width="14" customWidth="1" min="10" max="10"/>
    <col width="14" customWidth="1" min="11" max="11"/>
  </cols>
  <sheetData>
    <row r="1" ht="34" customHeight="1">
      <c r="A1" s="6" t="inlineStr">
        <is>
          <t>Date</t>
        </is>
      </c>
      <c r="B1" s="6" t="inlineStr">
        <is>
          <t>Design Problem</t>
        </is>
      </c>
      <c r="C1" s="6" t="inlineStr">
        <is>
          <t>Mistake Area</t>
        </is>
      </c>
      <c r="D1" s="6" t="inlineStr">
        <is>
          <t>What Went Wrong</t>
        </is>
      </c>
      <c r="E1" s="6" t="inlineStr">
        <is>
          <t>Better Answer</t>
        </is>
      </c>
      <c r="F1" s="6" t="inlineStr">
        <is>
          <t>Trade-off Missed</t>
        </is>
      </c>
      <c r="G1" s="6" t="inlineStr">
        <is>
          <t>Scale/Numbers Gap</t>
        </is>
      </c>
      <c r="H1" s="6" t="inlineStr">
        <is>
          <t>Failure Mode Missed</t>
        </is>
      </c>
      <c r="I1" s="6" t="inlineStr">
        <is>
          <t>Follow-up Resource</t>
        </is>
      </c>
      <c r="J1" s="6" t="inlineStr">
        <is>
          <t>Review Date</t>
        </is>
      </c>
      <c r="K1" s="6" t="inlineStr">
        <is>
          <t>Confidence 1-5</t>
        </is>
      </c>
    </row>
    <row r="2" ht="45" customHeight="1"/>
  </sheetData>
  <autoFilter ref="A1:K2"/>
  <dataValidations count="2">
    <dataValidation sqref="C2:C500" showDropDown="0" showInputMessage="0" showErrorMessage="0" allowBlank="1" type="list">
      <formula1>"Requirements,Capacity estimation,API design,Data model,Caching,Sharding,Queueing,Consistency,Failure modes,Observability,Trade-offs,Communication"</formula1>
    </dataValidation>
    <dataValidation sqref="K2:K50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38" customWidth="1" min="4" max="4"/>
    <col width="42" customWidth="1" min="5" max="5"/>
    <col width="26" customWidth="1" min="6" max="6"/>
    <col width="28" customWidth="1" min="7" max="7"/>
    <col width="30" customWidth="1" min="8" max="8"/>
    <col width="14" customWidth="1" min="9" max="9"/>
    <col width="14" customWidth="1" min="10" max="10"/>
  </cols>
  <sheetData>
    <row r="1" ht="34" customHeight="1">
      <c r="A1" s="6" t="inlineStr">
        <is>
          <t>Date</t>
        </is>
      </c>
      <c r="B1" s="6" t="inlineStr">
        <is>
          <t>Problem</t>
        </is>
      </c>
      <c r="C1" s="6" t="inlineStr">
        <is>
          <t>Mistake Area</t>
        </is>
      </c>
      <c r="D1" s="6" t="inlineStr">
        <is>
          <t>Bad Design Symptom</t>
        </is>
      </c>
      <c r="E1" s="6" t="inlineStr">
        <is>
          <t>Better Design</t>
        </is>
      </c>
      <c r="F1" s="6" t="inlineStr">
        <is>
          <t>Pattern/Principle</t>
        </is>
      </c>
      <c r="G1" s="6" t="inlineStr">
        <is>
          <t>Class/Interface To Improve</t>
        </is>
      </c>
      <c r="H1" s="6" t="inlineStr">
        <is>
          <t>Test Case Missed</t>
        </is>
      </c>
      <c r="I1" s="6" t="inlineStr">
        <is>
          <t>Review Date</t>
        </is>
      </c>
      <c r="J1" s="6" t="inlineStr">
        <is>
          <t>Confidence 1-5</t>
        </is>
      </c>
    </row>
    <row r="2" ht="45" customHeight="1"/>
  </sheetData>
  <autoFilter ref="A1:J2"/>
  <dataValidations count="2">
    <dataValidation sqref="C2:C500" showDropDown="0" showInputMessage="0" showErrorMessage="0" allowBlank="1" type="list">
      <formula1>"Requirements,Class responsibility,Extensibility,Interface design,State handling,Concurrency,Testing,Communication"</formula1>
    </dataValidation>
    <dataValidation sqref="J2:J50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28" customWidth="1" min="4" max="4"/>
    <col width="14" customWidth="1" min="5" max="5"/>
    <col width="12" customWidth="1" min="6" max="6"/>
    <col width="34" customWidth="1" min="7" max="7"/>
    <col width="38" customWidth="1" min="8" max="8"/>
    <col width="34" customWidth="1" min="9" max="9"/>
    <col width="18" customWidth="1" min="10" max="10"/>
    <col width="16" customWidth="1" min="11" max="11"/>
    <col width="34" customWidth="1" min="12" max="12"/>
    <col width="10" customWidth="1" min="13" max="13"/>
  </cols>
  <sheetData>
    <row r="1" ht="34" customHeight="1">
      <c r="A1" s="6" t="inlineStr">
        <is>
          <t>Date</t>
        </is>
      </c>
      <c r="B1" s="6" t="inlineStr">
        <is>
          <t>Round Type</t>
        </is>
      </c>
      <c r="C1" s="6" t="inlineStr">
        <is>
          <t>Interviewer/Source</t>
        </is>
      </c>
      <c r="D1" s="6" t="inlineStr">
        <is>
          <t>Problem/Topic</t>
        </is>
      </c>
      <c r="E1" s="6" t="inlineStr">
        <is>
          <t>Result</t>
        </is>
      </c>
      <c r="F1" s="6" t="inlineStr">
        <is>
          <t>Score 1-5</t>
        </is>
      </c>
      <c r="G1" s="6" t="inlineStr">
        <is>
          <t>Strong Points</t>
        </is>
      </c>
      <c r="H1" s="6" t="inlineStr">
        <is>
          <t>Weak Points</t>
        </is>
      </c>
      <c r="I1" s="6" t="inlineStr">
        <is>
          <t>Top Correction</t>
        </is>
      </c>
      <c r="J1" s="6" t="inlineStr">
        <is>
          <t>Communication Score 1-5</t>
        </is>
      </c>
      <c r="K1" s="6" t="inlineStr">
        <is>
          <t>Technical Score 1-5</t>
        </is>
      </c>
      <c r="L1" s="6" t="inlineStr">
        <is>
          <t>Next Action</t>
        </is>
      </c>
      <c r="M1" s="6" t="inlineStr">
        <is>
          <t>Done</t>
        </is>
      </c>
    </row>
    <row r="2" ht="45" customHeight="1"/>
  </sheetData>
  <autoFilter ref="A1:M2"/>
  <dataValidations count="6">
    <dataValidation sqref="B2:B500" showDropDown="0" showInputMessage="0" showErrorMessage="0" allowBlank="1" type="list">
      <formula1>"DSA,System Design,LLD,Behavioral,Resume Deep Dive,Mixed"</formula1>
    </dataValidation>
    <dataValidation sqref="E2:E500" showDropDown="0" showInputMessage="0" showErrorMessage="0" allowBlank="1" type="list">
      <formula1>"Strong,Mixed,Weak"</formula1>
    </dataValidation>
    <dataValidation sqref="F2:F500" showDropDown="0" showInputMessage="0" showErrorMessage="0" allowBlank="1" type="list">
      <formula1>"1,2,3,4,5"</formula1>
    </dataValidation>
    <dataValidation sqref="J2:J500" showDropDown="0" showInputMessage="0" showErrorMessage="0" allowBlank="1" type="list">
      <formula1>"1,2,3,4,5"</formula1>
    </dataValidation>
    <dataValidation sqref="K2:K500" showDropDown="0" showInputMessage="0" showErrorMessage="0" allowBlank="1" type="list">
      <formula1>"1,2,3,4,5"</formula1>
    </dataValidation>
    <dataValidation sqref="M2:M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2" customWidth="1" min="4" max="4"/>
    <col width="14" customWidth="1" min="5" max="5"/>
    <col width="15" customWidth="1" min="6" max="6"/>
    <col width="13" customWidth="1" min="7" max="7"/>
    <col width="10" customWidth="1" min="8" max="8"/>
    <col width="28" customWidth="1" min="9" max="9"/>
    <col width="28" customWidth="1" min="10" max="10"/>
    <col width="28" customWidth="1" min="11" max="11"/>
    <col width="34" customWidth="1" min="12" max="12"/>
    <col width="34" customWidth="1" min="13" max="13"/>
    <col width="34" customWidth="1" min="14" max="14"/>
    <col width="14" customWidth="1" min="15" max="15"/>
  </cols>
  <sheetData>
    <row r="1" ht="34" customHeight="1">
      <c r="A1" s="20" t="inlineStr">
        <is>
          <t>Week</t>
        </is>
      </c>
      <c r="B1" s="20" t="inlineStr">
        <is>
          <t>Start Date</t>
        </is>
      </c>
      <c r="C1" s="20" t="inlineStr">
        <is>
          <t>Daily Score Total</t>
        </is>
      </c>
      <c r="D1" s="20" t="inlineStr">
        <is>
          <t>DSA Solved</t>
        </is>
      </c>
      <c r="E1" s="20" t="inlineStr">
        <is>
          <t>DSA Re-solved</t>
        </is>
      </c>
      <c r="F1" s="20" t="inlineStr">
        <is>
          <t>System Designs</t>
        </is>
      </c>
      <c r="G1" s="20" t="inlineStr">
        <is>
          <t>LLD Problems</t>
        </is>
      </c>
      <c r="H1" s="20" t="inlineStr">
        <is>
          <t>Mocks</t>
        </is>
      </c>
      <c r="I1" s="20" t="inlineStr">
        <is>
          <t>Top Mistake 1</t>
        </is>
      </c>
      <c r="J1" s="20" t="inlineStr">
        <is>
          <t>Top Mistake 2</t>
        </is>
      </c>
      <c r="K1" s="20" t="inlineStr">
        <is>
          <t>Top Mistake 3</t>
        </is>
      </c>
      <c r="L1" s="20" t="inlineStr">
        <is>
          <t>What Worked</t>
        </is>
      </c>
      <c r="M1" s="20" t="inlineStr">
        <is>
          <t>What Did Not Work</t>
        </is>
      </c>
      <c r="N1" s="20" t="inlineStr">
        <is>
          <t>One Change Next Week</t>
        </is>
      </c>
      <c r="O1" s="20" t="inlineStr">
        <is>
          <t>Readiness 1-5</t>
        </is>
      </c>
    </row>
    <row r="2" ht="45" customHeight="1">
      <c r="A2" s="7" t="n">
        <v>1</v>
      </c>
      <c r="B2" s="7" t="inlineStr">
        <is>
          <t>2026-08-25</t>
        </is>
      </c>
      <c r="C2" s="7">
        <f>SUMPRODUCT(('Daily Tracker'!B2:B200=1)*('Daily Tracker'!N2:N200))</f>
        <v/>
      </c>
      <c r="D2" s="7">
        <f>COUNTIFS('Daily Tracker'!B2:B200,1,'Daily Tracker'!J2:J200,"&lt;&gt;")</f>
        <v/>
      </c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  <c r="N2" s="7" t="inlineStr"/>
      <c r="O2" s="7" t="inlineStr"/>
    </row>
    <row r="3">
      <c r="A3" s="7" t="n">
        <v>2</v>
      </c>
      <c r="B3" s="7" t="inlineStr">
        <is>
          <t>2026-09-01</t>
        </is>
      </c>
      <c r="C3" s="7">
        <f>SUMPRODUCT(('Daily Tracker'!B2:B200=2)*('Daily Tracker'!N2:N200))</f>
        <v/>
      </c>
      <c r="D3" s="7">
        <f>COUNTIFS('Daily Tracker'!B2:B200,2,'Daily Tracker'!J2:J200,"&lt;&gt;")</f>
        <v/>
      </c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</row>
    <row r="4">
      <c r="A4" s="7" t="n">
        <v>3</v>
      </c>
      <c r="B4" s="7" t="inlineStr">
        <is>
          <t>2026-09-08</t>
        </is>
      </c>
      <c r="C4" s="7">
        <f>SUMPRODUCT(('Daily Tracker'!B2:B200=3)*('Daily Tracker'!N2:N200))</f>
        <v/>
      </c>
      <c r="D4" s="7">
        <f>COUNTIFS('Daily Tracker'!B2:B200,3,'Daily Tracker'!J2:J200,"&lt;&gt;")</f>
        <v/>
      </c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</row>
    <row r="5">
      <c r="A5" s="7" t="n">
        <v>4</v>
      </c>
      <c r="B5" s="7" t="inlineStr">
        <is>
          <t>2026-09-15</t>
        </is>
      </c>
      <c r="C5" s="7">
        <f>SUMPRODUCT(('Daily Tracker'!B2:B200=4)*('Daily Tracker'!N2:N200))</f>
        <v/>
      </c>
      <c r="D5" s="7">
        <f>COUNTIFS('Daily Tracker'!B2:B200,4,'Daily Tracker'!J2:J200,"&lt;&gt;")</f>
        <v/>
      </c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</row>
    <row r="6">
      <c r="A6" s="7" t="n">
        <v>5</v>
      </c>
      <c r="B6" s="7" t="inlineStr">
        <is>
          <t>2026-09-22</t>
        </is>
      </c>
      <c r="C6" s="7">
        <f>SUMPRODUCT(('Daily Tracker'!B2:B200=5)*('Daily Tracker'!N2:N200))</f>
        <v/>
      </c>
      <c r="D6" s="7">
        <f>COUNTIFS('Daily Tracker'!B2:B200,5,'Daily Tracker'!J2:J200,"&lt;&gt;")</f>
        <v/>
      </c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</row>
    <row r="7">
      <c r="A7" s="7" t="n">
        <v>6</v>
      </c>
      <c r="B7" s="7" t="inlineStr">
        <is>
          <t>2026-09-29</t>
        </is>
      </c>
      <c r="C7" s="7">
        <f>SUMPRODUCT(('Daily Tracker'!B2:B200=6)*('Daily Tracker'!N2:N200))</f>
        <v/>
      </c>
      <c r="D7" s="7">
        <f>COUNTIFS('Daily Tracker'!B2:B200,6,'Daily Tracker'!J2:J200,"&lt;&gt;")</f>
        <v/>
      </c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</row>
  </sheetData>
  <autoFilter ref="A1:O7"/>
  <dataValidations count="1">
    <dataValidation sqref="O2:O20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30" customWidth="1" min="4" max="4"/>
    <col width="42" customWidth="1" min="5" max="5"/>
    <col width="30" customWidth="1" min="6" max="6"/>
    <col width="36" customWidth="1" min="7" max="7"/>
    <col width="20" customWidth="1" min="8" max="8"/>
    <col width="30" customWidth="1" min="9" max="9"/>
    <col width="28" customWidth="1" min="10" max="10"/>
    <col width="18" customWidth="1" min="11" max="11"/>
    <col width="14" customWidth="1" min="12" max="12"/>
  </cols>
  <sheetData>
    <row r="1" ht="34" customHeight="1">
      <c r="A1" s="6" t="inlineStr">
        <is>
          <t>Story</t>
        </is>
      </c>
      <c r="B1" s="6" t="inlineStr">
        <is>
          <t>Company/Project</t>
        </is>
      </c>
      <c r="C1" s="6" t="inlineStr">
        <is>
          <t>Situation</t>
        </is>
      </c>
      <c r="D1" s="6" t="inlineStr">
        <is>
          <t>Task</t>
        </is>
      </c>
      <c r="E1" s="6" t="inlineStr">
        <is>
          <t>Action</t>
        </is>
      </c>
      <c r="F1" s="6" t="inlineStr">
        <is>
          <t>Result</t>
        </is>
      </c>
      <c r="G1" s="6" t="inlineStr">
        <is>
          <t>Technical Depth</t>
        </is>
      </c>
      <c r="H1" s="6" t="inlineStr">
        <is>
          <t>Metrics</t>
        </is>
      </c>
      <c r="I1" s="6" t="inlineStr">
        <is>
          <t>Senior Signal</t>
        </is>
      </c>
      <c r="J1" s="6" t="inlineStr">
        <is>
          <t>Weak Gap</t>
        </is>
      </c>
      <c r="K1" s="6" t="inlineStr">
        <is>
          <t>Practiced Out Loud</t>
        </is>
      </c>
      <c r="L1" s="6" t="inlineStr">
        <is>
          <t>Confidence 1-5</t>
        </is>
      </c>
    </row>
    <row r="2" ht="45" customHeight="1">
      <c r="A2" s="7" t="inlineStr">
        <is>
          <t>Most technically difficult project</t>
        </is>
      </c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</row>
    <row r="3" ht="45" customHeight="1">
      <c r="A3" s="7" t="inlineStr">
        <is>
          <t>Project with measurable business impact</t>
        </is>
      </c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</row>
    <row r="4">
      <c r="A4" s="7" t="inlineStr">
        <is>
          <t>Production bug or outage you resolved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</row>
    <row r="5">
      <c r="A5" s="7" t="inlineStr">
        <is>
          <t>Performance or scalability improvement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</row>
    <row r="6">
      <c r="A6" s="7" t="inlineStr">
        <is>
          <t>System you designed end-to-end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</row>
    <row r="7">
      <c r="A7" s="7" t="inlineStr">
        <is>
          <t>Conflict or disagreement with teammate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>
      <c r="A8" s="7" t="inlineStr">
        <is>
          <t>Time you showed ownership beyond your role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</row>
    <row r="9">
      <c r="A9" s="7" t="inlineStr">
        <is>
          <t>Failure or mistake and what you learned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>
      <c r="A10" s="7" t="inlineStr">
        <is>
          <t>Mentoring or leading without authority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</row>
    <row r="11">
      <c r="A11" s="7" t="inlineStr">
        <is>
          <t>Why this company / why this role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</sheetData>
  <autoFilter ref="A1:L3"/>
  <dataValidations count="2">
    <dataValidation sqref="K2:K200" showDropDown="0" showInputMessage="0" showErrorMessage="0" allowBlank="1" type="list">
      <formula1>"Yes,No"</formula1>
    </dataValidation>
    <dataValidation sqref="L2:L200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18" customWidth="1" min="4" max="4"/>
    <col width="18" customWidth="1" min="5" max="5"/>
    <col width="14" customWidth="1" min="6" max="6"/>
    <col width="24" customWidth="1" min="7" max="7"/>
    <col width="22" customWidth="1" min="8" max="8"/>
    <col width="14" customWidth="1" min="9" max="9"/>
    <col width="34" customWidth="1" min="10" max="10"/>
    <col width="34" customWidth="1" min="11" max="11"/>
    <col width="16" customWidth="1" min="12" max="12"/>
  </cols>
  <sheetData>
    <row r="1" ht="34" customHeight="1">
      <c r="A1" s="6" t="inlineStr">
        <is>
          <t>Company</t>
        </is>
      </c>
      <c r="B1" s="6" t="inlineStr">
        <is>
          <t>Role</t>
        </is>
      </c>
      <c r="C1" s="6" t="inlineStr">
        <is>
          <t>Level</t>
        </is>
      </c>
      <c r="D1" s="6" t="inlineStr">
        <is>
          <t>Source</t>
        </is>
      </c>
      <c r="E1" s="6" t="inlineStr">
        <is>
          <t>Status</t>
        </is>
      </c>
      <c r="F1" s="6" t="inlineStr">
        <is>
          <t>Applied Date</t>
        </is>
      </c>
      <c r="G1" s="6" t="inlineStr">
        <is>
          <t>Recruiter</t>
        </is>
      </c>
      <c r="H1" s="6" t="inlineStr">
        <is>
          <t>Next Round</t>
        </is>
      </c>
      <c r="I1" s="6" t="inlineStr">
        <is>
          <t>Next Date</t>
        </is>
      </c>
      <c r="J1" s="6" t="inlineStr">
        <is>
          <t>Prep Focus</t>
        </is>
      </c>
      <c r="K1" s="6" t="inlineStr">
        <is>
          <t>Notes</t>
        </is>
      </c>
      <c r="L1" s="6" t="inlineStr">
        <is>
          <t>Follow-up Date</t>
        </is>
      </c>
    </row>
    <row r="2" ht="45" customHeight="1"/>
  </sheetData>
  <autoFilter ref="A1:L2"/>
  <dataValidations count="1">
    <dataValidation sqref="E2:E300" showDropDown="0" showInputMessage="0" showErrorMessage="0" allowBlank="1" type="list">
      <formula1>"Researching,Applied,Recruiter screen,DSA,System Design,LLD,Behavioral,Offer,Rejected,Paused"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48" customWidth="1" min="4" max="4"/>
  </cols>
  <sheetData>
    <row r="1" ht="34" customHeight="1">
      <c r="A1" s="6" t="inlineStr">
        <is>
          <t>Metric</t>
        </is>
      </c>
      <c r="B1" s="6" t="inlineStr">
        <is>
          <t>Value</t>
        </is>
      </c>
      <c r="C1" s="6" t="inlineStr">
        <is>
          <t>Target</t>
        </is>
      </c>
      <c r="D1" s="6" t="inlineStr">
        <is>
          <t>Meaning</t>
        </is>
      </c>
    </row>
    <row r="2" ht="45" customHeight="1">
      <c r="A2" s="7" t="inlineStr">
        <is>
          <t>Total prep days</t>
        </is>
      </c>
      <c r="B2" s="8">
        <f>COUNTIF('Daily Tracker'!N2:N200,"&gt;0")</f>
        <v/>
      </c>
      <c r="C2" s="7" t="inlineStr">
        <is>
          <t>30+</t>
        </is>
      </c>
      <c r="D2" s="7" t="inlineStr">
        <is>
          <t>Days you actually showed up and scored</t>
        </is>
      </c>
    </row>
    <row r="3" ht="45" customHeight="1">
      <c r="A3" s="7" t="inlineStr">
        <is>
          <t>Average daily score</t>
        </is>
      </c>
      <c r="B3" s="8">
        <f>IFERROR(AVERAGEIF('Daily Tracker'!N2:N200,"&gt;0"),"")</f>
        <v/>
      </c>
      <c r="C3" s="7" t="inlineStr">
        <is>
          <t>4+</t>
        </is>
      </c>
      <c r="D3" s="7" t="inlineStr">
        <is>
          <t>Quality of consistency</t>
        </is>
      </c>
    </row>
    <row r="4" ht="45" customHeight="1">
      <c r="A4" s="7" t="inlineStr">
        <is>
          <t>DSA mistakes logged</t>
        </is>
      </c>
      <c r="B4" s="8">
        <f>COUNTA('DSA Mistake Log'!B2:B500)</f>
        <v/>
      </c>
      <c r="C4" s="7" t="inlineStr">
        <is>
          <t>35+</t>
        </is>
      </c>
      <c r="D4" s="7" t="inlineStr">
        <is>
          <t>Learning from errors</t>
        </is>
      </c>
    </row>
    <row r="5" ht="45" customHeight="1">
      <c r="A5" s="7" t="inlineStr">
        <is>
          <t>DSA pending re-solves</t>
        </is>
      </c>
      <c r="B5" s="8">
        <f>COUNTIF('DSA Mistake Log'!M2:M500,"Pending")</f>
        <v/>
      </c>
      <c r="C5" s="7" t="inlineStr">
        <is>
          <t>0-8</t>
        </is>
      </c>
      <c r="D5" s="7" t="inlineStr">
        <is>
          <t>Backlog before interview</t>
        </is>
      </c>
    </row>
    <row r="6" ht="45" customHeight="1">
      <c r="A6" s="7" t="inlineStr">
        <is>
          <t>System design gaps logged</t>
        </is>
      </c>
      <c r="B6" s="8">
        <f>COUNTA('System Design Mistakes'!B2:B500)</f>
        <v/>
      </c>
      <c r="C6" s="7" t="inlineStr">
        <is>
          <t>10+</t>
        </is>
      </c>
      <c r="D6" s="7" t="inlineStr">
        <is>
          <t>Trade-off awareness</t>
        </is>
      </c>
    </row>
    <row r="7" ht="45" customHeight="1">
      <c r="A7" s="7" t="inlineStr">
        <is>
          <t>LLD gaps logged</t>
        </is>
      </c>
      <c r="B7" s="8">
        <f>COUNTA('LLD Mistakes'!B2:B500)</f>
        <v/>
      </c>
      <c r="C7" s="7" t="inlineStr">
        <is>
          <t>8+</t>
        </is>
      </c>
      <c r="D7" s="7" t="inlineStr">
        <is>
          <t>Design modeling clarity</t>
        </is>
      </c>
    </row>
    <row r="8" ht="45" customHeight="1">
      <c r="A8" s="7" t="inlineStr">
        <is>
          <t>Mocks completed</t>
        </is>
      </c>
      <c r="B8" s="8">
        <f>COUNTA('Mock Interviews'!B2:B500)</f>
        <v/>
      </c>
      <c r="C8" s="7" t="inlineStr">
        <is>
          <t>6+</t>
        </is>
      </c>
      <c r="D8" s="7" t="inlineStr">
        <is>
          <t>Pressure practice</t>
        </is>
      </c>
    </row>
    <row r="9" ht="45" customHeight="1">
      <c r="A9" s="7" t="inlineStr">
        <is>
          <t>Resume stories practiced</t>
        </is>
      </c>
      <c r="B9" s="8">
        <f>COUNTIF('Resume Stories'!K2:K200,"Yes")</f>
        <v/>
      </c>
      <c r="C9" s="7" t="inlineStr">
        <is>
          <t>6+</t>
        </is>
      </c>
      <c r="D9" s="7" t="inlineStr">
        <is>
          <t>Behavioral confidence</t>
        </is>
      </c>
    </row>
    <row r="10">
      <c r="A10" s="7" t="inlineStr">
        <is>
          <t>AI/ML topics confident</t>
        </is>
      </c>
      <c r="B10" s="7">
        <f>COUNTIF('AI ML Topics'!E2:E100,"Confident")</f>
        <v/>
      </c>
      <c r="C10" s="7" t="inlineStr">
        <is>
          <t>15+</t>
        </is>
      </c>
      <c r="D10" s="7" t="inlineStr">
        <is>
          <t>ML topics you can explain clearly</t>
        </is>
      </c>
    </row>
    <row r="11">
      <c r="A11" s="7" t="inlineStr">
        <is>
          <t>Data Engineering topics confident</t>
        </is>
      </c>
      <c r="B11" s="7">
        <f>COUNTIF('Data Engineering Topics'!E2:E100,"Confident")</f>
        <v/>
      </c>
      <c r="C11" s="7" t="inlineStr">
        <is>
          <t>12+</t>
        </is>
      </c>
      <c r="D11" s="7" t="inlineStr">
        <is>
          <t>DE topics you can explain clearly</t>
        </is>
      </c>
    </row>
  </sheetData>
  <autoFilter ref="A1:D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Senior Software Engineer Interview Tracker</t>
        </is>
      </c>
    </row>
    <row r="2" ht="45" customHeight="1">
      <c r="A2" s="22" t="inlineStr">
        <is>
          <t>Senior SDE interview tracker. Daily Tracker focuses on DSA + SDE depth (system design, backend, LLD). AI ML Topics and Data Engineering Topics sheets are for your ML/AI prep at your own pace — not forced daily. 6 weeks from 2026-08-25, building from light habit to full simulation.</t>
        </is>
      </c>
    </row>
    <row r="3" ht="45" customHeight="1">
      <c r="A3" s="3" t="n"/>
    </row>
    <row r="4" ht="45" customHeight="1">
      <c r="A4" s="4" t="inlineStr">
        <is>
          <t>How to use daily</t>
        </is>
      </c>
    </row>
    <row r="5" ht="45" customHeight="1">
      <c r="A5" s="3" t="inlineStr">
        <is>
          <t>1. Fill one row in Daily Tracker every prep day.</t>
        </is>
      </c>
    </row>
    <row r="6" ht="45" customHeight="1">
      <c r="A6" s="3" t="inlineStr">
        <is>
          <t>2. Log every non-trivial DSA mistake in DSA Mistake Log.</t>
        </is>
      </c>
    </row>
    <row r="7" ht="45" customHeight="1">
      <c r="A7" s="3" t="inlineStr">
        <is>
          <t>3. Log design and LLD gaps separately; senior rounds punish vague trade-offs.</t>
        </is>
      </c>
    </row>
    <row r="8" ht="45" customHeight="1">
      <c r="A8" s="3" t="inlineStr">
        <is>
          <t>4. After mocks, capture feedback in Mock Interviews within 10 minutes.</t>
        </is>
      </c>
    </row>
    <row r="9" ht="45" customHeight="1">
      <c r="A9" s="3" t="inlineStr">
        <is>
          <t>5. Every Sunday, complete Weekly Review and choose one adjustment for next week.</t>
        </is>
      </c>
    </row>
    <row r="10" ht="45" customHeight="1">
      <c r="A10" s="3" t="n"/>
    </row>
    <row r="11" ht="45" customHeight="1">
      <c r="A11" s="3" t="n"/>
    </row>
    <row r="12" ht="45" customHeight="1">
      <c r="A12" s="4" t="inlineStr">
        <is>
          <t>Scoring guide</t>
        </is>
      </c>
    </row>
    <row r="13" ht="45" customHeight="1">
      <c r="A13" s="3" t="inlineStr">
        <is>
          <t>5 = plan completed plus mistake review</t>
        </is>
      </c>
    </row>
    <row r="14" ht="45" customHeight="1">
      <c r="A14" s="3" t="inlineStr">
        <is>
          <t>4 = daily minimum completed</t>
        </is>
      </c>
    </row>
    <row r="15" ht="45" customHeight="1">
      <c r="A15" s="3" t="inlineStr">
        <is>
          <t>3 = partial but meaningful effort</t>
        </is>
      </c>
    </row>
    <row r="16" ht="45" customHeight="1">
      <c r="A16" s="3" t="inlineStr">
        <is>
          <t>2 = tiny effort only</t>
        </is>
      </c>
    </row>
    <row r="17" ht="45" customHeight="1">
      <c r="A17" s="3" t="inlineStr">
        <is>
          <t>1 = showed up but avoided hard work</t>
        </is>
      </c>
    </row>
    <row r="18" ht="45" customHeight="1">
      <c r="A18" s="3" t="inlineStr">
        <is>
          <t>0 = no prep</t>
        </is>
      </c>
    </row>
    <row r="19" ht="45" customHeight="1">
      <c r="A19" s="3" t="n"/>
    </row>
    <row r="20" ht="45" customHeight="1">
      <c r="A20" s="3" t="n"/>
    </row>
    <row r="21">
      <c r="A21" s="4" t="inlineStr">
        <is>
          <t>Senior-level focus</t>
        </is>
      </c>
    </row>
    <row r="22">
      <c r="A22" s="5" t="inlineStr">
        <is>
          <t>Do not only track problems solved. Track judgment: requirement clarity, trade-offs, failure modes, ownership stories, communication, and recovery from being stuck.</t>
        </is>
      </c>
    </row>
    <row r="24">
      <c r="A24" s="9" t="inlineStr">
        <is>
          <t>Tracker start date</t>
        </is>
      </c>
    </row>
    <row r="25">
      <c r="A25" s="10" t="inlineStr">
        <is>
          <t>DSA frequency order for senior SWE at Tier-1:
CRITICAL (60%+ of loops): Arrays+Hashing, Two Pointers, Sliding Window, Binary Search, Trees, Graphs, DP
HIGH (30-50%): Heap, Stack/Monotonic Stack, Intervals, Backtracking
MEDIUM (15-30%): Greedy, Linked List, Trie, Union Find
LOWER (&lt;15%): Prefix Sum, Bit Manipulation
DP is CRITICAL at senior level. Companies like Google, Meta, Amazon ask DP regularly in senior rounds because it tests problem decomposition and state-transition thinking.</t>
        </is>
      </c>
    </row>
    <row r="27">
      <c r="A27" s="21" t="inlineStr">
        <is>
          <t>AI/ML Topics sheet</t>
        </is>
      </c>
    </row>
    <row r="28">
      <c r="A28" s="10" t="inlineStr">
        <is>
          <t>AI ML Topics sheet covers all interview topics ordered by frequency: CRITICAL (ML fundamentals, supervised learning, DL basics, transformers, LLMs, RAG, feature engineering), HIGH (ML system design, embeddings, NLP, MLOps, recommendations, optimization, data imbalance), MEDIUM (CNNs, clustering, AI agents, fine-tuning, distributed training, time series), GOOD TO KNOW (RL, GNNs, probabilistic ML, ethics). Mark status and confidence as you study each topic.</t>
        </is>
      </c>
    </row>
    <row r="30">
      <c r="A30" s="21" t="inlineStr">
        <is>
          <t>Data Engineering Topics sheet</t>
        </is>
      </c>
    </row>
    <row r="31">
      <c r="A31" s="10" t="inlineStr">
        <is>
          <t>Covers all DE interview topics ordered by frequency: CRITICAL (SQL advanced, data modeling, ETL/ELT, Spark, warehousing, batch vs stream), HIGH (Kafka, Airflow, data quality, distributed systems, dbt, file formats, data lake), MEDIUM (Python for DE, cloud services, CDC, governance, Kimball, performance), GOOD TO KNOW (real-time analytics, data mesh, NoSQL/graph, ML pipelines for DE).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2026-08-25T04:15:14Z</dcterms:created>
  <dcterms:modified xsi:type="dcterms:W3CDTF">2026-08-25T14:05:05Z</dcterms:modified>
</cp:coreProperties>
</file>